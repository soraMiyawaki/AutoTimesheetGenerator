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Desktop\残業反映システムフォルダ\"/>
    </mc:Choice>
  </mc:AlternateContent>
  <xr:revisionPtr revIDLastSave="0" documentId="13_ncr:1_{7D70EC78-1FF1-45EF-990D-DEFDF1C997F2}" xr6:coauthVersionLast="47" xr6:coauthVersionMax="47" xr10:uidLastSave="{00000000-0000-0000-0000-000000000000}"/>
  <bookViews>
    <workbookView xWindow="-96" yWindow="-96" windowWidth="23232" windowHeight="12432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<sst xmlns="http://schemas.openxmlformats.org/spreadsheetml/2006/main" count="65" uniqueCount="50">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</sst>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6" borderId="0" xfId="0" applyFont="1" applyFill="1" applyAlignment="1" applyProtection="1">
      <alignment horizontal="center" vertical="center"/>
      <protection locked="0"/>
    </xf>
    <xf numFmtId="0" fontId="17" fillId="6" borderId="23" xfId="0" applyFont="1" applyFill="1" applyBorder="1" applyAlignment="1" applyProtection="1">
      <alignment horizontal="center" vertical="center"/>
      <protection locked="0"/>
    </xf>
    <xf numFmtId="0" fontId="17" fillId="6" borderId="11" xfId="0" applyFont="1" applyFill="1" applyBorder="1" applyAlignment="1" applyProtection="1">
      <alignment horizontal="center" vertical="center"/>
      <protection locked="0"/>
    </xf>
    <xf numFmtId="0" fontId="17" fillId="6" borderId="35" xfId="0" applyFont="1" applyFill="1" applyBorder="1" applyAlignment="1" applyProtection="1">
      <alignment horizontal="center" vertical="center"/>
      <protection locked="0"/>
    </xf>
    <xf numFmtId="0" fontId="10" fillId="0" borderId="4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7" fillId="6" borderId="25" xfId="0" applyFont="1" applyFill="1" applyBorder="1" applyAlignment="1" applyProtection="1">
      <alignment horizontal="center" vertical="center"/>
      <protection locked="0"/>
    </xf>
    <xf numFmtId="0" fontId="17" fillId="6" borderId="2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  <xf numFmtId="0" fontId="16" fillId="8" borderId="25" xfId="0" applyFont="1" applyFill="1" applyBorder="1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6" fillId="8" borderId="21" xfId="0" applyFont="1" applyFill="1" applyBorder="1" applyAlignment="1">
      <alignment horizontal="center" vertical="center"/>
    </xf>
    <xf numFmtId="0" fontId="16" fillId="8" borderId="22" xfId="0" applyFont="1" applyFill="1" applyBorder="1" applyAlignment="1">
      <alignment horizontal="center" vertical="center"/>
    </xf>
    <xf numFmtId="0" fontId="16" fillId="8" borderId="42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16" fillId="8" borderId="26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141768</xdr:colOff>
          <xdr:row>3</xdr:row>
          <xdr:rowOff>53163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86" zoomScaleNormal="86" workbookViewId="0">
      <selection activeCell="Q15" sqref="Q15:T15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119">
        <v>2025</v>
      </c>
      <c r="C2" s="120"/>
      <c r="D2" s="120"/>
      <c r="E2" s="121"/>
      <c r="H2" s="55" t="s">
        <v>22</v>
      </c>
      <c r="I2" s="55"/>
      <c r="J2" s="55"/>
      <c r="K2" s="55"/>
      <c r="L2" s="55"/>
      <c r="M2" s="55"/>
    </row>
    <row r="3" spans="1:20" ht="18.600000000000001" thickBot="1" x14ac:dyDescent="0.5">
      <c r="B3" s="122"/>
      <c r="C3" s="123"/>
      <c r="D3" s="123"/>
      <c r="E3" s="124"/>
      <c r="F3" t="s">
        <v>0</v>
      </c>
      <c r="H3" s="55"/>
      <c r="I3" s="55"/>
      <c r="J3" s="55"/>
      <c r="K3" s="55"/>
      <c r="L3" s="55"/>
      <c r="M3" s="55"/>
    </row>
    <row r="4" spans="1:20" x14ac:dyDescent="0.45">
      <c r="B4" s="125">
        <v>2021</v>
      </c>
      <c r="C4" s="126"/>
      <c r="D4" s="126"/>
      <c r="E4" s="127"/>
    </row>
    <row r="5" spans="1:20" ht="18.600000000000001" thickBot="1" x14ac:dyDescent="0.5">
      <c r="B5" s="128"/>
      <c r="C5" s="118"/>
      <c r="D5" s="118"/>
      <c r="E5" s="129"/>
      <c r="F5" t="s">
        <v>0</v>
      </c>
    </row>
    <row r="6" spans="1:20" ht="18.600000000000001" thickBot="1" x14ac:dyDescent="0.5">
      <c r="B6" s="56" t="s">
        <v>23</v>
      </c>
      <c r="C6" s="57"/>
      <c r="D6" s="57"/>
      <c r="E6" s="57"/>
      <c r="F6" s="57"/>
      <c r="G6" s="57"/>
      <c r="H6" s="58"/>
    </row>
    <row r="7" spans="1:20" x14ac:dyDescent="0.45">
      <c r="B7" s="59" t="s">
        <v>24</v>
      </c>
      <c r="C7" s="60"/>
      <c r="D7" s="60"/>
      <c r="E7" s="60"/>
      <c r="F7" s="60"/>
      <c r="G7" s="61"/>
      <c r="H7" s="46">
        <v>360</v>
      </c>
    </row>
    <row r="8" spans="1:20" x14ac:dyDescent="0.45">
      <c r="B8" s="62" t="s">
        <v>25</v>
      </c>
      <c r="C8" s="63"/>
      <c r="D8" s="63"/>
      <c r="E8" s="63"/>
      <c r="F8" s="63"/>
      <c r="G8" s="64"/>
      <c r="H8" s="47">
        <v>26.5</v>
      </c>
    </row>
    <row r="9" spans="1:20" ht="18.600000000000001" thickBot="1" x14ac:dyDescent="0.5">
      <c r="B9" s="65" t="s">
        <v>26</v>
      </c>
      <c r="C9" s="66"/>
      <c r="D9" s="66"/>
      <c r="E9" s="66"/>
      <c r="F9" s="66"/>
      <c r="G9" s="67"/>
      <c r="H9" s="48">
        <v>386.5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68" t="s">
        <v>28</v>
      </c>
      <c r="D12" s="68"/>
      <c r="E12" s="74" t="s">
        <v>29</v>
      </c>
      <c r="F12" s="68"/>
      <c r="G12" s="68"/>
      <c r="H12" s="75"/>
      <c r="I12" s="68" t="s">
        <v>30</v>
      </c>
      <c r="J12" s="68"/>
      <c r="K12" s="68"/>
      <c r="L12" s="68"/>
      <c r="M12" s="74" t="s">
        <v>31</v>
      </c>
      <c r="N12" s="68"/>
      <c r="O12" s="68"/>
      <c r="P12" s="75"/>
      <c r="Q12" s="68" t="s">
        <v>32</v>
      </c>
      <c r="R12" s="68"/>
      <c r="S12" s="68"/>
      <c r="T12" s="76"/>
    </row>
    <row r="13" spans="1:20" x14ac:dyDescent="0.45">
      <c r="A13" s="45">
        <v>1.5</v>
      </c>
      <c r="B13" s="41">
        <v>1</v>
      </c>
      <c r="C13" s="54">
        <v>22</v>
      </c>
      <c r="D13" s="54"/>
      <c r="E13" s="77">
        <v>176</v>
      </c>
      <c r="F13" s="78"/>
      <c r="G13" s="78"/>
      <c r="H13" s="79"/>
      <c r="I13" s="78">
        <v>33</v>
      </c>
      <c r="J13" s="78"/>
      <c r="K13" s="78"/>
      <c r="L13" s="78"/>
      <c r="M13" s="77">
        <v>209</v>
      </c>
      <c r="N13" s="78"/>
      <c r="O13" s="78"/>
      <c r="P13" s="79"/>
      <c r="Q13" s="80"/>
      <c r="R13" s="80"/>
      <c r="S13" s="80"/>
      <c r="T13" s="81"/>
    </row>
    <row r="14" spans="1:20" x14ac:dyDescent="0.45">
      <c r="A14" s="45">
        <v>1.5</v>
      </c>
      <c r="B14" s="43">
        <v>2</v>
      </c>
      <c r="C14" s="69">
        <v>19</v>
      </c>
      <c r="D14" s="69"/>
      <c r="E14" s="71">
        <v>152</v>
      </c>
      <c r="F14" s="70"/>
      <c r="G14" s="70"/>
      <c r="H14" s="72"/>
      <c r="I14" s="70">
        <v>28.5</v>
      </c>
      <c r="J14" s="70"/>
      <c r="K14" s="70"/>
      <c r="L14" s="70"/>
      <c r="M14" s="71">
        <v>180.5</v>
      </c>
      <c r="N14" s="70"/>
      <c r="O14" s="70"/>
      <c r="P14" s="72"/>
      <c r="Q14" s="82"/>
      <c r="R14" s="82"/>
      <c r="S14" s="82"/>
      <c r="T14" s="83"/>
    </row>
    <row r="15" spans="1:20" x14ac:dyDescent="0.45">
      <c r="A15" s="45">
        <v>-0.5</v>
      </c>
      <c r="B15" s="41">
        <v>3</v>
      </c>
      <c r="C15" s="54">
        <v>20</v>
      </c>
      <c r="D15" s="54"/>
      <c r="E15" s="77">
        <v>160</v>
      </c>
      <c r="F15" s="78"/>
      <c r="G15" s="78"/>
      <c r="H15" s="79"/>
      <c r="I15" s="78">
        <v>-10</v>
      </c>
      <c r="J15" s="78"/>
      <c r="K15" s="78"/>
      <c r="L15" s="78"/>
      <c r="M15" s="77">
        <v>150</v>
      </c>
      <c r="N15" s="78"/>
      <c r="O15" s="78"/>
      <c r="P15" s="79"/>
      <c r="Q15" s="80">
        <v>40</v>
      </c>
      <c r="R15" s="80"/>
      <c r="S15" s="80"/>
      <c r="T15" s="81"/>
    </row>
    <row r="16" spans="1:20" x14ac:dyDescent="0.45">
      <c r="A16" s="45">
        <v>1.5</v>
      </c>
      <c r="B16" s="43">
        <v>4</v>
      </c>
      <c r="C16" s="69">
        <v>21</v>
      </c>
      <c r="D16" s="69"/>
      <c r="E16" s="71">
        <v>168</v>
      </c>
      <c r="F16" s="70"/>
      <c r="G16" s="70"/>
      <c r="H16" s="72"/>
      <c r="I16" s="70">
        <v>31.5</v>
      </c>
      <c r="J16" s="70"/>
      <c r="K16" s="70"/>
      <c r="L16" s="70"/>
      <c r="M16" s="71">
        <v>199.5</v>
      </c>
      <c r="N16" s="70"/>
      <c r="O16" s="70"/>
      <c r="P16" s="72"/>
      <c r="Q16" s="82"/>
      <c r="R16" s="82"/>
      <c r="S16" s="82"/>
      <c r="T16" s="83"/>
    </row>
    <row r="17" spans="1:20" x14ac:dyDescent="0.45">
      <c r="A17" s="45">
        <v>1.5</v>
      </c>
      <c r="B17" s="41">
        <v>5</v>
      </c>
      <c r="C17" s="54">
        <v>21</v>
      </c>
      <c r="D17" s="54"/>
      <c r="E17" s="77">
        <v>168</v>
      </c>
      <c r="F17" s="78"/>
      <c r="G17" s="78"/>
      <c r="H17" s="79"/>
      <c r="I17" s="78">
        <v>31.5</v>
      </c>
      <c r="J17" s="78"/>
      <c r="K17" s="78"/>
      <c r="L17" s="78"/>
      <c r="M17" s="77">
        <v>199.5</v>
      </c>
      <c r="N17" s="78"/>
      <c r="O17" s="78"/>
      <c r="P17" s="79"/>
      <c r="Q17" s="80"/>
      <c r="R17" s="80"/>
      <c r="S17" s="80"/>
      <c r="T17" s="81"/>
    </row>
    <row r="18" spans="1:20" x14ac:dyDescent="0.45">
      <c r="A18" s="45">
        <v>1.5</v>
      </c>
      <c r="B18" s="43">
        <v>6</v>
      </c>
      <c r="C18" s="69">
        <v>21</v>
      </c>
      <c r="D18" s="69"/>
      <c r="E18" s="71">
        <v>168</v>
      </c>
      <c r="F18" s="70"/>
      <c r="G18" s="70"/>
      <c r="H18" s="72"/>
      <c r="I18" s="70">
        <v>31.5</v>
      </c>
      <c r="J18" s="70"/>
      <c r="K18" s="70"/>
      <c r="L18" s="70"/>
      <c r="M18" s="71">
        <v>199.5</v>
      </c>
      <c r="N18" s="70"/>
      <c r="O18" s="70"/>
      <c r="P18" s="72"/>
      <c r="Q18" s="82"/>
      <c r="R18" s="82"/>
      <c r="S18" s="82"/>
      <c r="T18" s="83"/>
    </row>
    <row r="19" spans="1:20" x14ac:dyDescent="0.45">
      <c r="A19" s="45">
        <v>1.5</v>
      </c>
      <c r="B19" s="41">
        <v>7</v>
      </c>
      <c r="C19" s="54">
        <v>22</v>
      </c>
      <c r="D19" s="54"/>
      <c r="E19" s="77">
        <v>176</v>
      </c>
      <c r="F19" s="78"/>
      <c r="G19" s="78"/>
      <c r="H19" s="79"/>
      <c r="I19" s="78">
        <v>33</v>
      </c>
      <c r="J19" s="78"/>
      <c r="K19" s="78"/>
      <c r="L19" s="78"/>
      <c r="M19" s="77">
        <v>209</v>
      </c>
      <c r="N19" s="78"/>
      <c r="O19" s="78"/>
      <c r="P19" s="79"/>
      <c r="Q19" s="80"/>
      <c r="R19" s="80"/>
      <c r="S19" s="80"/>
      <c r="T19" s="81"/>
    </row>
    <row r="20" spans="1:20" x14ac:dyDescent="0.45">
      <c r="A20" s="45">
        <v>1.5</v>
      </c>
      <c r="B20" s="43">
        <v>8</v>
      </c>
      <c r="C20" s="69">
        <v>20</v>
      </c>
      <c r="D20" s="69"/>
      <c r="E20" s="71">
        <v>160</v>
      </c>
      <c r="F20" s="70"/>
      <c r="G20" s="70"/>
      <c r="H20" s="72"/>
      <c r="I20" s="70">
        <v>30</v>
      </c>
      <c r="J20" s="70"/>
      <c r="K20" s="70"/>
      <c r="L20" s="70"/>
      <c r="M20" s="71">
        <v>190</v>
      </c>
      <c r="N20" s="70"/>
      <c r="O20" s="70"/>
      <c r="P20" s="72"/>
      <c r="Q20" s="82"/>
      <c r="R20" s="82"/>
      <c r="S20" s="82"/>
      <c r="T20" s="83"/>
    </row>
    <row r="21" spans="1:20" x14ac:dyDescent="0.45">
      <c r="A21" s="45">
        <v>1.5</v>
      </c>
      <c r="B21" s="41">
        <v>9</v>
      </c>
      <c r="C21" s="54">
        <v>20</v>
      </c>
      <c r="D21" s="54"/>
      <c r="E21" s="77">
        <v>160</v>
      </c>
      <c r="F21" s="78"/>
      <c r="G21" s="78"/>
      <c r="H21" s="79"/>
      <c r="I21" s="78">
        <v>30</v>
      </c>
      <c r="J21" s="78"/>
      <c r="K21" s="78"/>
      <c r="L21" s="78"/>
      <c r="M21" s="77">
        <v>190</v>
      </c>
      <c r="N21" s="78"/>
      <c r="O21" s="78"/>
      <c r="P21" s="79"/>
      <c r="Q21" s="80"/>
      <c r="R21" s="80"/>
      <c r="S21" s="80"/>
      <c r="T21" s="81"/>
    </row>
    <row r="22" spans="1:20" x14ac:dyDescent="0.45">
      <c r="A22" s="45">
        <v>1.5</v>
      </c>
      <c r="B22" s="43">
        <v>10</v>
      </c>
      <c r="C22" s="69">
        <v>22</v>
      </c>
      <c r="D22" s="69"/>
      <c r="E22" s="71">
        <v>176</v>
      </c>
      <c r="F22" s="70"/>
      <c r="G22" s="70"/>
      <c r="H22" s="72"/>
      <c r="I22" s="70">
        <v>33</v>
      </c>
      <c r="J22" s="70"/>
      <c r="K22" s="70"/>
      <c r="L22" s="70"/>
      <c r="M22" s="71">
        <v>209</v>
      </c>
      <c r="N22" s="70"/>
      <c r="O22" s="70"/>
      <c r="P22" s="72"/>
      <c r="Q22" s="82"/>
      <c r="R22" s="82"/>
      <c r="S22" s="82"/>
      <c r="T22" s="83"/>
    </row>
    <row r="23" spans="1:20" x14ac:dyDescent="0.45">
      <c r="A23" s="45">
        <v>1.5</v>
      </c>
      <c r="B23" s="43">
        <v>11</v>
      </c>
      <c r="C23" s="69">
        <v>19</v>
      </c>
      <c r="D23" s="69"/>
      <c r="E23" s="71">
        <v>152</v>
      </c>
      <c r="F23" s="70"/>
      <c r="G23" s="70"/>
      <c r="H23" s="72"/>
      <c r="I23" s="70">
        <v>28.5</v>
      </c>
      <c r="J23" s="70"/>
      <c r="K23" s="70"/>
      <c r="L23" s="70"/>
      <c r="M23" s="71">
        <v>180.5</v>
      </c>
      <c r="N23" s="70"/>
      <c r="O23" s="70"/>
      <c r="P23" s="72"/>
      <c r="Q23" s="82"/>
      <c r="R23" s="82"/>
      <c r="S23" s="82"/>
      <c r="T23" s="83"/>
    </row>
    <row r="24" spans="1:20" ht="18.600000000000001" thickBot="1" x14ac:dyDescent="0.5">
      <c r="A24" s="45">
        <v>1.5</v>
      </c>
      <c r="B24" s="42">
        <v>12</v>
      </c>
      <c r="C24" s="73">
        <v>22</v>
      </c>
      <c r="D24" s="73"/>
      <c r="E24" s="84">
        <v>176</v>
      </c>
      <c r="F24" s="85"/>
      <c r="G24" s="85"/>
      <c r="H24" s="86"/>
      <c r="I24" s="85">
        <v>33</v>
      </c>
      <c r="J24" s="85"/>
      <c r="K24" s="85"/>
      <c r="L24" s="85"/>
      <c r="M24" s="84">
        <v>209</v>
      </c>
      <c r="N24" s="85"/>
      <c r="O24" s="85"/>
      <c r="P24" s="86"/>
      <c r="Q24" s="87"/>
      <c r="R24" s="87"/>
      <c r="S24" s="87"/>
      <c r="T24" s="88"/>
    </row>
    <row r="26" spans="1:20" x14ac:dyDescent="0.45">
      <c r="B26" s="53"/>
    </row>
  </sheetData>
  <sheetProtection algorithmName="SHA-512" hashValue="MzWawfyOHxc5wa8SoGlSjhcntkHPwMbn7rltiETLIUdMXuMyEygU5SNmzMSdDWp8kVQoAPztSSAgdNpjZctqbg==" saltValue="SLfKzjzqYa6/DsJlI9qJug==" spinCount="100000" sheet="1" objects="1" scenarios="1" selectLockedCells="1"/>
  <mergeCells count="72"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  <mergeCell ref="Q20:T20"/>
    <mergeCell ref="E21:H21"/>
    <mergeCell ref="I21:L21"/>
    <mergeCell ref="M21:P21"/>
    <mergeCell ref="Q21:T21"/>
    <mergeCell ref="E18:H18"/>
    <mergeCell ref="I18:L18"/>
    <mergeCell ref="M18:P18"/>
    <mergeCell ref="Q18:T18"/>
    <mergeCell ref="E19:H19"/>
    <mergeCell ref="I19:L19"/>
    <mergeCell ref="M19:P19"/>
    <mergeCell ref="Q19:T19"/>
    <mergeCell ref="M16:P16"/>
    <mergeCell ref="Q16:T16"/>
    <mergeCell ref="E17:H17"/>
    <mergeCell ref="I17:L17"/>
    <mergeCell ref="M17:P17"/>
    <mergeCell ref="Q17:T17"/>
    <mergeCell ref="Q14:T14"/>
    <mergeCell ref="E15:H15"/>
    <mergeCell ref="I15:L15"/>
    <mergeCell ref="M15:P15"/>
    <mergeCell ref="Q15:T15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89"/>
      <c r="C1" s="89"/>
      <c r="D1" s="54" t="s">
        <v>0</v>
      </c>
      <c r="E1" s="89"/>
      <c r="F1" s="89" t="s">
        <v>1</v>
      </c>
      <c r="G1" s="89"/>
      <c r="H1" s="1"/>
      <c r="I1" s="1"/>
    </row>
    <row r="2" spans="1:17" ht="19.5" customHeight="1" x14ac:dyDescent="0.45">
      <c r="B2" s="89"/>
      <c r="C2" s="89"/>
      <c r="D2" s="54"/>
      <c r="E2" s="89"/>
      <c r="F2" s="89"/>
      <c r="G2" s="89"/>
      <c r="H2" s="1"/>
      <c r="N2" s="2"/>
      <c r="O2" s="2"/>
    </row>
    <row r="4" spans="1:17" ht="18.600000000000001" thickBot="1" x14ac:dyDescent="0.5">
      <c r="B4" s="90" t="s">
        <v>2</v>
      </c>
      <c r="C4" s="91"/>
      <c r="D4" s="91"/>
      <c r="E4" s="91"/>
      <c r="F4" s="92"/>
      <c r="G4" s="93" t="s">
        <v>3</v>
      </c>
      <c r="H4" s="94"/>
      <c r="I4" s="95"/>
      <c r="J4" s="100" t="s">
        <v>4</v>
      </c>
      <c r="K4" s="101"/>
      <c r="L4" s="102"/>
      <c r="M4" s="103" t="s">
        <v>5</v>
      </c>
      <c r="N4" s="103"/>
      <c r="O4" s="103"/>
    </row>
    <row r="5" spans="1:17" ht="20.100000000000001" customHeight="1" thickTop="1" x14ac:dyDescent="0.45">
      <c r="B5" s="104" t="s">
        <v>6</v>
      </c>
      <c r="C5" s="105"/>
      <c r="D5" s="106"/>
      <c r="E5" s="107"/>
      <c r="F5" s="108"/>
      <c r="G5" s="3" t="s">
        <v>7</v>
      </c>
      <c r="H5" s="109">
        <f>SUM(H11:H41)</f>
        <v>0</v>
      </c>
      <c r="I5" s="110"/>
      <c r="J5" s="3" t="s">
        <v>7</v>
      </c>
      <c r="K5" s="109">
        <f>SUM(O11:O41)</f>
        <v>0</v>
      </c>
      <c r="L5" s="110"/>
      <c r="M5" s="3" t="s">
        <v>8</v>
      </c>
      <c r="N5" s="109">
        <f>SUM(P11:P41)</f>
        <v>0</v>
      </c>
      <c r="O5" s="110"/>
    </row>
    <row r="6" spans="1:17" ht="20.100000000000001" customHeight="1" x14ac:dyDescent="0.45">
      <c r="B6" s="111" t="s">
        <v>9</v>
      </c>
      <c r="C6" s="112"/>
      <c r="D6" s="113"/>
      <c r="E6" s="114"/>
      <c r="F6" s="115"/>
      <c r="G6" s="4" t="s">
        <v>10</v>
      </c>
      <c r="H6" s="116">
        <f>COUNT(H11:H41)</f>
        <v>0</v>
      </c>
      <c r="I6" s="117"/>
      <c r="J6" s="4" t="s">
        <v>10</v>
      </c>
      <c r="K6" s="116">
        <f>COUNT(H11:H41)-COUNTA(Q11:Q41)</f>
        <v>0</v>
      </c>
      <c r="L6" s="117"/>
      <c r="M6" s="4" t="s">
        <v>11</v>
      </c>
      <c r="N6" s="116">
        <f>COUNTIF(P11:P41,"&gt;0")</f>
        <v>0</v>
      </c>
      <c r="O6" s="117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96" t="s">
        <v>12</v>
      </c>
      <c r="C9" s="96"/>
      <c r="D9" s="97" t="s">
        <v>3</v>
      </c>
      <c r="E9" s="97"/>
      <c r="F9" s="97"/>
      <c r="G9" s="97"/>
      <c r="H9" s="97"/>
      <c r="I9" s="98" t="s">
        <v>13</v>
      </c>
      <c r="J9" s="98"/>
      <c r="K9" s="99" t="s">
        <v>14</v>
      </c>
      <c r="L9" s="99"/>
      <c r="M9" s="99"/>
      <c r="N9" s="99"/>
      <c r="O9" s="99"/>
      <c r="P9" s="99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4"/>
      <c r="B11" s="14" t="e">
        <f>DATE( $B$1, $E$1, ROW()-10)</f>
        <v>#NUM!</v>
      </c>
      <c r="C11" s="15" t="e">
        <f>TEXT(B11,"aaa")</f>
        <v>#NUM!</v>
      </c>
      <c r="D11" s="16"/>
      <c r="E11" s="49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4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9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4"/>
      <c r="B13" s="14" t="e">
        <f t="shared" si="9"/>
        <v>#NUM!</v>
      </c>
      <c r="C13" s="15" t="e">
        <f t="shared" si="10"/>
        <v>#NUM!</v>
      </c>
      <c r="D13" s="16"/>
      <c r="E13" s="49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4"/>
      <c r="B14" s="14" t="e">
        <f t="shared" si="9"/>
        <v>#NUM!</v>
      </c>
      <c r="C14" s="15" t="e">
        <f t="shared" si="10"/>
        <v>#NUM!</v>
      </c>
      <c r="D14" s="16"/>
      <c r="E14" s="49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4"/>
      <c r="B15" s="14" t="e">
        <f t="shared" si="9"/>
        <v>#NUM!</v>
      </c>
      <c r="C15" s="15" t="e">
        <f t="shared" si="10"/>
        <v>#NUM!</v>
      </c>
      <c r="D15" s="16"/>
      <c r="E15" s="49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4"/>
      <c r="B16" s="14" t="e">
        <f t="shared" si="9"/>
        <v>#NUM!</v>
      </c>
      <c r="C16" s="15" t="e">
        <f t="shared" si="10"/>
        <v>#NUM!</v>
      </c>
      <c r="D16" s="16"/>
      <c r="E16" s="49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4"/>
      <c r="B17" s="14" t="e">
        <f t="shared" si="9"/>
        <v>#NUM!</v>
      </c>
      <c r="C17" s="15" t="e">
        <f t="shared" si="10"/>
        <v>#NUM!</v>
      </c>
      <c r="D17" s="16"/>
      <c r="E17" s="49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4"/>
      <c r="B18" s="14" t="e">
        <f t="shared" si="9"/>
        <v>#NUM!</v>
      </c>
      <c r="C18" s="15" t="e">
        <f t="shared" si="10"/>
        <v>#NUM!</v>
      </c>
      <c r="D18" s="16"/>
      <c r="E18" s="49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4"/>
      <c r="B19" s="14" t="e">
        <f t="shared" si="9"/>
        <v>#NUM!</v>
      </c>
      <c r="C19" s="15" t="e">
        <f t="shared" si="10"/>
        <v>#NUM!</v>
      </c>
      <c r="D19" s="16"/>
      <c r="E19" s="49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4"/>
      <c r="B20" s="14" t="e">
        <f t="shared" si="9"/>
        <v>#NUM!</v>
      </c>
      <c r="C20" s="15" t="e">
        <f t="shared" si="10"/>
        <v>#NUM!</v>
      </c>
      <c r="D20" s="16"/>
      <c r="E20" s="49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4"/>
      <c r="B21" s="14" t="e">
        <f t="shared" si="9"/>
        <v>#NUM!</v>
      </c>
      <c r="C21" s="15" t="e">
        <f t="shared" si="10"/>
        <v>#NUM!</v>
      </c>
      <c r="D21" s="16"/>
      <c r="E21" s="49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4"/>
      <c r="B22" s="14" t="e">
        <f t="shared" si="9"/>
        <v>#NUM!</v>
      </c>
      <c r="C22" s="15" t="e">
        <f t="shared" si="10"/>
        <v>#NUM!</v>
      </c>
      <c r="D22" s="16"/>
      <c r="E22" s="49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4"/>
      <c r="B23" s="14" t="e">
        <f t="shared" si="9"/>
        <v>#NUM!</v>
      </c>
      <c r="C23" s="15" t="e">
        <f t="shared" si="10"/>
        <v>#NUM!</v>
      </c>
      <c r="D23" s="16"/>
      <c r="E23" s="49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4"/>
      <c r="B24" s="14" t="e">
        <f t="shared" si="9"/>
        <v>#NUM!</v>
      </c>
      <c r="C24" s="15" t="e">
        <f t="shared" si="10"/>
        <v>#NUM!</v>
      </c>
      <c r="D24" s="16"/>
      <c r="E24" s="49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4"/>
      <c r="B25" s="14" t="e">
        <f t="shared" si="9"/>
        <v>#NUM!</v>
      </c>
      <c r="C25" s="15" t="e">
        <f t="shared" si="10"/>
        <v>#NUM!</v>
      </c>
      <c r="D25" s="16"/>
      <c r="E25" s="49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4"/>
      <c r="B26" s="14" t="e">
        <f t="shared" si="9"/>
        <v>#NUM!</v>
      </c>
      <c r="C26" s="15" t="e">
        <f t="shared" si="10"/>
        <v>#NUM!</v>
      </c>
      <c r="D26" s="16"/>
      <c r="E26" s="49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4"/>
      <c r="B27" s="14" t="e">
        <f t="shared" si="9"/>
        <v>#NUM!</v>
      </c>
      <c r="C27" s="15" t="e">
        <f t="shared" si="10"/>
        <v>#NUM!</v>
      </c>
      <c r="D27" s="16"/>
      <c r="E27" s="49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4"/>
      <c r="B28" s="14" t="e">
        <f t="shared" si="9"/>
        <v>#NUM!</v>
      </c>
      <c r="C28" s="15" t="e">
        <f t="shared" si="10"/>
        <v>#NUM!</v>
      </c>
      <c r="D28" s="16"/>
      <c r="E28" s="49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4"/>
      <c r="B29" s="14" t="e">
        <f t="shared" si="9"/>
        <v>#NUM!</v>
      </c>
      <c r="C29" s="15" t="e">
        <f t="shared" si="10"/>
        <v>#NUM!</v>
      </c>
      <c r="D29" s="16"/>
      <c r="E29" s="49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4"/>
      <c r="B30" s="14" t="e">
        <f t="shared" si="9"/>
        <v>#NUM!</v>
      </c>
      <c r="C30" s="15" t="e">
        <f t="shared" si="10"/>
        <v>#NUM!</v>
      </c>
      <c r="D30" s="16"/>
      <c r="E30" s="49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4"/>
      <c r="B31" s="14" t="e">
        <f t="shared" si="9"/>
        <v>#NUM!</v>
      </c>
      <c r="C31" s="15" t="e">
        <f t="shared" si="10"/>
        <v>#NUM!</v>
      </c>
      <c r="D31" s="16"/>
      <c r="E31" s="49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4"/>
      <c r="B32" s="14" t="e">
        <f t="shared" si="9"/>
        <v>#NUM!</v>
      </c>
      <c r="C32" s="15" t="e">
        <f t="shared" si="10"/>
        <v>#NUM!</v>
      </c>
      <c r="D32" s="16"/>
      <c r="E32" s="49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4"/>
      <c r="B33" s="14" t="e">
        <f t="shared" si="9"/>
        <v>#NUM!</v>
      </c>
      <c r="C33" s="15" t="e">
        <f t="shared" si="10"/>
        <v>#NUM!</v>
      </c>
      <c r="D33" s="16"/>
      <c r="E33" s="49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4"/>
      <c r="B34" s="14" t="e">
        <f t="shared" si="9"/>
        <v>#NUM!</v>
      </c>
      <c r="C34" s="15" t="e">
        <f t="shared" si="10"/>
        <v>#NUM!</v>
      </c>
      <c r="D34" s="16"/>
      <c r="E34" s="49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4"/>
      <c r="B35" s="14" t="e">
        <f t="shared" si="9"/>
        <v>#NUM!</v>
      </c>
      <c r="C35" s="15" t="e">
        <f t="shared" si="10"/>
        <v>#NUM!</v>
      </c>
      <c r="D35" s="16"/>
      <c r="E35" s="49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4"/>
      <c r="B36" s="14" t="e">
        <f t="shared" si="9"/>
        <v>#NUM!</v>
      </c>
      <c r="C36" s="15" t="e">
        <f t="shared" si="10"/>
        <v>#NUM!</v>
      </c>
      <c r="D36" s="16"/>
      <c r="E36" s="49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4"/>
      <c r="B37" s="14" t="e">
        <f t="shared" si="9"/>
        <v>#NUM!</v>
      </c>
      <c r="C37" s="15" t="e">
        <f t="shared" si="10"/>
        <v>#NUM!</v>
      </c>
      <c r="D37" s="16"/>
      <c r="E37" s="49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4"/>
      <c r="B38" s="14" t="e">
        <f t="shared" si="9"/>
        <v>#NUM!</v>
      </c>
      <c r="C38" s="15" t="e">
        <f t="shared" si="10"/>
        <v>#NUM!</v>
      </c>
      <c r="D38" s="16"/>
      <c r="E38" s="49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4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50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4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9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4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9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  <mergeCell ref="B1:C2"/>
    <mergeCell ref="D1:D2"/>
    <mergeCell ref="E1:E2"/>
    <mergeCell ref="F1:G2"/>
    <mergeCell ref="B4:F4"/>
    <mergeCell ref="G4:I4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4" customWidth="1"/>
    <col min="2" max="2" width="14" customWidth="1"/>
  </cols>
  <sheetData>
    <row r="1" spans="1:2" x14ac:dyDescent="0.45">
      <c r="A1" s="51" t="s">
        <v>49</v>
      </c>
      <c r="B1" s="52" t="s">
        <v>33</v>
      </c>
    </row>
    <row r="2" spans="1:2" x14ac:dyDescent="0.45">
      <c r="A2" s="44">
        <v>45658</v>
      </c>
      <c r="B2" t="s">
        <v>34</v>
      </c>
    </row>
    <row r="3" spans="1:2" x14ac:dyDescent="0.45">
      <c r="A3" s="44">
        <v>45699</v>
      </c>
      <c r="B3" t="s">
        <v>35</v>
      </c>
    </row>
    <row r="4" spans="1:2" x14ac:dyDescent="0.45">
      <c r="A4" s="44">
        <v>45737</v>
      </c>
      <c r="B4" t="s">
        <v>36</v>
      </c>
    </row>
    <row r="5" spans="1:2" x14ac:dyDescent="0.45">
      <c r="A5" s="44">
        <v>45776</v>
      </c>
      <c r="B5" t="s">
        <v>37</v>
      </c>
    </row>
    <row r="6" spans="1:2" x14ac:dyDescent="0.45">
      <c r="A6" s="44">
        <v>45780</v>
      </c>
      <c r="B6" t="s">
        <v>38</v>
      </c>
    </row>
    <row r="7" spans="1:2" x14ac:dyDescent="0.45">
      <c r="A7" s="44">
        <v>45781</v>
      </c>
      <c r="B7" t="s">
        <v>39</v>
      </c>
    </row>
    <row r="8" spans="1:2" x14ac:dyDescent="0.45">
      <c r="A8" s="44">
        <v>45782</v>
      </c>
      <c r="B8" t="s">
        <v>40</v>
      </c>
    </row>
    <row r="9" spans="1:2" x14ac:dyDescent="0.45">
      <c r="A9" s="44">
        <v>45859</v>
      </c>
      <c r="B9" t="s">
        <v>41</v>
      </c>
    </row>
    <row r="10" spans="1:2" x14ac:dyDescent="0.45">
      <c r="A10" s="44">
        <v>45880</v>
      </c>
      <c r="B10" t="s">
        <v>42</v>
      </c>
    </row>
    <row r="11" spans="1:2" x14ac:dyDescent="0.45">
      <c r="A11" s="44">
        <v>45915</v>
      </c>
      <c r="B11" t="s">
        <v>43</v>
      </c>
    </row>
    <row r="12" spans="1:2" x14ac:dyDescent="0.45">
      <c r="A12" s="44">
        <v>45923</v>
      </c>
      <c r="B12" t="s">
        <v>44</v>
      </c>
    </row>
    <row r="13" spans="1:2" x14ac:dyDescent="0.45">
      <c r="A13" s="44">
        <v>45943</v>
      </c>
      <c r="B13" t="s">
        <v>45</v>
      </c>
    </row>
    <row r="14" spans="1:2" x14ac:dyDescent="0.45">
      <c r="A14" s="44">
        <v>45964</v>
      </c>
      <c r="B14" t="s">
        <v>46</v>
      </c>
    </row>
    <row r="15" spans="1:2" x14ac:dyDescent="0.45">
      <c r="A15" s="44">
        <v>45984</v>
      </c>
      <c r="B15" t="s">
        <v>47</v>
      </c>
    </row>
    <row r="16" spans="1:2" x14ac:dyDescent="0.45">
      <c r="A16" s="44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2025-06-26T06:55:36Z</dcterms:modified>
</cp:coreProperties>
</file>