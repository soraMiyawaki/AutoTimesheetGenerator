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xitotrinity-13\残業反映システムフォルダ\"/>
    </mc:Choice>
  </mc:AlternateContent>
  <xr:revisionPtr revIDLastSave="0" documentId="13_ncr:1_{3C531608-4A74-4C99-BB15-556F8B825B44}" xr6:coauthVersionLast="47" xr6:coauthVersionMax="47" xr10:uidLastSave="{00000000-0000-0000-0000-000000000000}"/>
  <bookViews>
    <workbookView xWindow="-96" yWindow="0" windowWidth="11712" windowHeight="12336" xr2:uid="{560FC9CC-DEDD-4A58-94D2-316EC03DFDEC}"/>
  </bookViews>
  <sheets>
    <sheet name="残業反映表" sheetId="1" r:id="rId1"/>
    <sheet name="勤務管理表" sheetId="2" r:id="rId2"/>
    <sheet name="祝日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41" i="2" l="1"/>
  <c r="O41" i="2"/>
  <c r="N41" i="2"/>
  <c r="M41" i="2"/>
  <c r="L41" i="2"/>
  <c r="K41" i="2"/>
  <c r="H41" i="2"/>
  <c r="G41" i="2"/>
  <c r="F41" i="2"/>
  <c r="C41" i="2"/>
  <c r="B41" i="2"/>
  <c r="P40" i="2"/>
  <c r="O40" i="2"/>
  <c r="N40" i="2"/>
  <c r="M40" i="2"/>
  <c r="L40" i="2"/>
  <c r="K40" i="2"/>
  <c r="H40" i="2"/>
  <c r="G40" i="2"/>
  <c r="F40" i="2"/>
  <c r="C40" i="2"/>
  <c r="B40" i="2"/>
  <c r="P39" i="2"/>
  <c r="O39" i="2"/>
  <c r="N39" i="2"/>
  <c r="M39" i="2"/>
  <c r="L39" i="2"/>
  <c r="K39" i="2"/>
  <c r="H39" i="2"/>
  <c r="G39" i="2"/>
  <c r="F39" i="2"/>
  <c r="C39" i="2"/>
  <c r="B39" i="2"/>
  <c r="P38" i="2"/>
  <c r="O38" i="2"/>
  <c r="N38" i="2"/>
  <c r="M38" i="2"/>
  <c r="L38" i="2"/>
  <c r="K38" i="2"/>
  <c r="H38" i="2"/>
  <c r="G38" i="2"/>
  <c r="F38" i="2"/>
  <c r="C38" i="2"/>
  <c r="B38" i="2"/>
  <c r="P37" i="2"/>
  <c r="O37" i="2"/>
  <c r="N37" i="2"/>
  <c r="M37" i="2"/>
  <c r="L37" i="2"/>
  <c r="K37" i="2"/>
  <c r="H37" i="2"/>
  <c r="G37" i="2"/>
  <c r="F37" i="2"/>
  <c r="C37" i="2"/>
  <c r="B37" i="2"/>
  <c r="P36" i="2"/>
  <c r="O36" i="2"/>
  <c r="N36" i="2"/>
  <c r="M36" i="2"/>
  <c r="L36" i="2"/>
  <c r="K36" i="2"/>
  <c r="H36" i="2"/>
  <c r="G36" i="2"/>
  <c r="F36" i="2"/>
  <c r="C36" i="2"/>
  <c r="B36" i="2"/>
  <c r="P35" i="2"/>
  <c r="O35" i="2"/>
  <c r="N35" i="2"/>
  <c r="M35" i="2"/>
  <c r="L35" i="2"/>
  <c r="K35" i="2"/>
  <c r="H35" i="2"/>
  <c r="G35" i="2"/>
  <c r="F35" i="2"/>
  <c r="C35" i="2"/>
  <c r="B35" i="2"/>
  <c r="P34" i="2"/>
  <c r="O34" i="2"/>
  <c r="N34" i="2"/>
  <c r="M34" i="2"/>
  <c r="L34" i="2"/>
  <c r="K34" i="2"/>
  <c r="H34" i="2"/>
  <c r="G34" i="2"/>
  <c r="F34" i="2"/>
  <c r="C34" i="2"/>
  <c r="B34" i="2"/>
  <c r="P33" i="2"/>
  <c r="O33" i="2"/>
  <c r="N33" i="2"/>
  <c r="M33" i="2"/>
  <c r="L33" i="2"/>
  <c r="K33" i="2"/>
  <c r="H33" i="2"/>
  <c r="G33" i="2"/>
  <c r="F33" i="2"/>
  <c r="C33" i="2"/>
  <c r="B33" i="2"/>
  <c r="P32" i="2"/>
  <c r="O32" i="2"/>
  <c r="N32" i="2"/>
  <c r="M32" i="2"/>
  <c r="L32" i="2"/>
  <c r="K32" i="2"/>
  <c r="H32" i="2"/>
  <c r="G32" i="2"/>
  <c r="F32" i="2"/>
  <c r="C32" i="2"/>
  <c r="B32" i="2"/>
  <c r="P31" i="2"/>
  <c r="O31" i="2"/>
  <c r="N31" i="2"/>
  <c r="M31" i="2"/>
  <c r="L31" i="2"/>
  <c r="K31" i="2"/>
  <c r="H31" i="2"/>
  <c r="G31" i="2"/>
  <c r="F31" i="2"/>
  <c r="C31" i="2"/>
  <c r="B31" i="2"/>
  <c r="P30" i="2"/>
  <c r="O30" i="2"/>
  <c r="N30" i="2"/>
  <c r="M30" i="2"/>
  <c r="L30" i="2"/>
  <c r="K30" i="2"/>
  <c r="H30" i="2"/>
  <c r="G30" i="2"/>
  <c r="F30" i="2"/>
  <c r="C30" i="2"/>
  <c r="B30" i="2"/>
  <c r="P29" i="2"/>
  <c r="O29" i="2"/>
  <c r="N29" i="2"/>
  <c r="M29" i="2"/>
  <c r="L29" i="2"/>
  <c r="K29" i="2"/>
  <c r="H29" i="2"/>
  <c r="G29" i="2"/>
  <c r="F29" i="2"/>
  <c r="C29" i="2"/>
  <c r="B29" i="2"/>
  <c r="P28" i="2"/>
  <c r="O28" i="2"/>
  <c r="N28" i="2"/>
  <c r="M28" i="2"/>
  <c r="L28" i="2"/>
  <c r="K28" i="2"/>
  <c r="H28" i="2"/>
  <c r="G28" i="2"/>
  <c r="F28" i="2"/>
  <c r="C28" i="2"/>
  <c r="B28" i="2"/>
  <c r="P27" i="2"/>
  <c r="O27" i="2"/>
  <c r="N27" i="2"/>
  <c r="M27" i="2"/>
  <c r="L27" i="2"/>
  <c r="K27" i="2"/>
  <c r="H27" i="2"/>
  <c r="G27" i="2"/>
  <c r="F27" i="2"/>
  <c r="C27" i="2"/>
  <c r="B27" i="2"/>
  <c r="P26" i="2"/>
  <c r="O26" i="2"/>
  <c r="N26" i="2"/>
  <c r="M26" i="2"/>
  <c r="L26" i="2"/>
  <c r="K26" i="2"/>
  <c r="H26" i="2"/>
  <c r="G26" i="2"/>
  <c r="F26" i="2"/>
  <c r="C26" i="2"/>
  <c r="B26" i="2"/>
  <c r="P25" i="2"/>
  <c r="O25" i="2"/>
  <c r="N25" i="2"/>
  <c r="M25" i="2"/>
  <c r="L25" i="2"/>
  <c r="K25" i="2"/>
  <c r="H25" i="2"/>
  <c r="G25" i="2"/>
  <c r="F25" i="2"/>
  <c r="C25" i="2"/>
  <c r="B25" i="2"/>
  <c r="P24" i="2"/>
  <c r="O24" i="2"/>
  <c r="N24" i="2"/>
  <c r="M24" i="2"/>
  <c r="L24" i="2"/>
  <c r="K24" i="2"/>
  <c r="H24" i="2"/>
  <c r="G24" i="2"/>
  <c r="F24" i="2"/>
  <c r="C24" i="2"/>
  <c r="B24" i="2"/>
  <c r="P23" i="2"/>
  <c r="O23" i="2"/>
  <c r="N23" i="2"/>
  <c r="M23" i="2"/>
  <c r="L23" i="2"/>
  <c r="K23" i="2"/>
  <c r="H23" i="2"/>
  <c r="G23" i="2"/>
  <c r="F23" i="2"/>
  <c r="C23" i="2"/>
  <c r="B23" i="2"/>
  <c r="P22" i="2"/>
  <c r="O22" i="2"/>
  <c r="N22" i="2"/>
  <c r="M22" i="2"/>
  <c r="L22" i="2"/>
  <c r="K22" i="2"/>
  <c r="H22" i="2"/>
  <c r="G22" i="2"/>
  <c r="F22" i="2"/>
  <c r="C22" i="2"/>
  <c r="B22" i="2"/>
  <c r="P21" i="2"/>
  <c r="O21" i="2"/>
  <c r="N21" i="2"/>
  <c r="M21" i="2"/>
  <c r="L21" i="2"/>
  <c r="K21" i="2"/>
  <c r="H21" i="2"/>
  <c r="G21" i="2"/>
  <c r="F21" i="2"/>
  <c r="C21" i="2"/>
  <c r="B21" i="2"/>
  <c r="P20" i="2"/>
  <c r="O20" i="2"/>
  <c r="N20" i="2"/>
  <c r="M20" i="2"/>
  <c r="L20" i="2"/>
  <c r="K20" i="2"/>
  <c r="H20" i="2"/>
  <c r="G20" i="2"/>
  <c r="F20" i="2"/>
  <c r="C20" i="2"/>
  <c r="B20" i="2"/>
  <c r="P19" i="2"/>
  <c r="O19" i="2"/>
  <c r="N19" i="2"/>
  <c r="M19" i="2"/>
  <c r="L19" i="2"/>
  <c r="K19" i="2"/>
  <c r="H19" i="2"/>
  <c r="G19" i="2"/>
  <c r="F19" i="2"/>
  <c r="C19" i="2"/>
  <c r="B19" i="2"/>
  <c r="P18" i="2"/>
  <c r="O18" i="2"/>
  <c r="N18" i="2"/>
  <c r="M18" i="2"/>
  <c r="L18" i="2"/>
  <c r="K18" i="2"/>
  <c r="H18" i="2"/>
  <c r="G18" i="2"/>
  <c r="F18" i="2"/>
  <c r="C18" i="2"/>
  <c r="B18" i="2"/>
  <c r="P17" i="2"/>
  <c r="O17" i="2"/>
  <c r="N17" i="2"/>
  <c r="M17" i="2"/>
  <c r="L17" i="2"/>
  <c r="K17" i="2"/>
  <c r="H17" i="2"/>
  <c r="G17" i="2"/>
  <c r="F17" i="2"/>
  <c r="C17" i="2"/>
  <c r="B17" i="2"/>
  <c r="P16" i="2"/>
  <c r="O16" i="2"/>
  <c r="N16" i="2"/>
  <c r="M16" i="2"/>
  <c r="L16" i="2"/>
  <c r="K16" i="2"/>
  <c r="H16" i="2"/>
  <c r="G16" i="2"/>
  <c r="F16" i="2"/>
  <c r="C16" i="2"/>
  <c r="B16" i="2"/>
  <c r="P15" i="2"/>
  <c r="O15" i="2"/>
  <c r="N15" i="2"/>
  <c r="M15" i="2"/>
  <c r="L15" i="2"/>
  <c r="K15" i="2"/>
  <c r="H15" i="2"/>
  <c r="G15" i="2"/>
  <c r="F15" i="2"/>
  <c r="C15" i="2"/>
  <c r="B15" i="2"/>
  <c r="P14" i="2"/>
  <c r="O14" i="2"/>
  <c r="N14" i="2"/>
  <c r="M14" i="2"/>
  <c r="L14" i="2"/>
  <c r="K14" i="2"/>
  <c r="H14" i="2"/>
  <c r="G14" i="2"/>
  <c r="F14" i="2"/>
  <c r="C14" i="2"/>
  <c r="B14" i="2"/>
  <c r="P13" i="2"/>
  <c r="O13" i="2"/>
  <c r="N13" i="2"/>
  <c r="M13" i="2"/>
  <c r="L13" i="2"/>
  <c r="K13" i="2"/>
  <c r="H13" i="2"/>
  <c r="G13" i="2"/>
  <c r="F13" i="2"/>
  <c r="C13" i="2"/>
  <c r="B13" i="2"/>
  <c r="P12" i="2"/>
  <c r="O12" i="2"/>
  <c r="N12" i="2"/>
  <c r="M12" i="2"/>
  <c r="L12" i="2"/>
  <c r="K12" i="2"/>
  <c r="H12" i="2"/>
  <c r="G12" i="2"/>
  <c r="F12" i="2"/>
  <c r="C12" i="2"/>
  <c r="B12" i="2"/>
  <c r="P11" i="2"/>
  <c r="O11" i="2"/>
  <c r="N11" i="2"/>
  <c r="M11" i="2"/>
  <c r="L11" i="2"/>
  <c r="K11" i="2"/>
  <c r="H11" i="2"/>
  <c r="G11" i="2"/>
  <c r="F11" i="2"/>
  <c r="C11" i="2"/>
  <c r="B11" i="2"/>
  <c r="N6" i="2"/>
  <c r="K6" i="2"/>
  <c r="H6" i="2"/>
  <c r="N5" i="2"/>
  <c r="K5" i="2"/>
  <c r="H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jadachi7pro</author>
  </authors>
  <commentList>
    <comment ref="J10" authorId="0" shapeId="0" xr:uid="{4344816E-9CD8-4628-9A67-6ED2259F35FE}">
      <text>
        <r>
          <rPr>
            <b/>
            <sz val="9"/>
            <color indexed="81"/>
            <rFont val="ＭＳ Ｐゴシック"/>
            <family val="3"/>
            <charset val="128"/>
          </rPr>
          <t>日付をまたぐ時刻の入力方法：
午前１時と入力する場合
NG⇒1:00　　OK⇒25:00</t>
        </r>
      </text>
    </comment>
  </commentList>
</comments>
</file>

<file path=xl/sharedStrings.xml><?xml version="1.0" encoding="utf-8"?>
<sst xmlns="http://schemas.openxmlformats.org/spreadsheetml/2006/main" count="65" uniqueCount="50">
  <si>
    <t>年</t>
    <rPh sb="0" eb="1">
      <t>ネン</t>
    </rPh>
    <phoneticPr fontId="3"/>
  </si>
  <si>
    <t>月勤務表</t>
    <phoneticPr fontId="3"/>
  </si>
  <si>
    <t>スタッフ</t>
    <phoneticPr fontId="3"/>
  </si>
  <si>
    <t>予定</t>
    <rPh sb="0" eb="2">
      <t>ヨテイ</t>
    </rPh>
    <phoneticPr fontId="3"/>
  </si>
  <si>
    <t>実績</t>
    <rPh sb="0" eb="2">
      <t>ジッセキ</t>
    </rPh>
    <phoneticPr fontId="3"/>
  </si>
  <si>
    <t>残業</t>
    <rPh sb="0" eb="2">
      <t>ザンギョウ</t>
    </rPh>
    <phoneticPr fontId="3"/>
  </si>
  <si>
    <t>社員番号</t>
    <rPh sb="0" eb="2">
      <t>シャイン</t>
    </rPh>
    <rPh sb="2" eb="4">
      <t>バンゴウ</t>
    </rPh>
    <phoneticPr fontId="3"/>
  </si>
  <si>
    <t>勤務時間</t>
    <rPh sb="0" eb="2">
      <t>キンム</t>
    </rPh>
    <rPh sb="2" eb="4">
      <t>ジカン</t>
    </rPh>
    <phoneticPr fontId="3"/>
  </si>
  <si>
    <t>超過時間</t>
    <rPh sb="0" eb="2">
      <t>チョウカ</t>
    </rPh>
    <rPh sb="2" eb="4">
      <t>ジカン</t>
    </rPh>
    <phoneticPr fontId="3"/>
  </si>
  <si>
    <t>氏名</t>
    <rPh sb="0" eb="2">
      <t>シメイ</t>
    </rPh>
    <phoneticPr fontId="3"/>
  </si>
  <si>
    <t>勤務日数</t>
    <rPh sb="0" eb="2">
      <t>キンム</t>
    </rPh>
    <rPh sb="2" eb="4">
      <t>ニッスウ</t>
    </rPh>
    <phoneticPr fontId="3"/>
  </si>
  <si>
    <t>残業日数</t>
    <rPh sb="0" eb="2">
      <t>ザンギョウ</t>
    </rPh>
    <rPh sb="2" eb="4">
      <t>ニッスウ</t>
    </rPh>
    <phoneticPr fontId="3"/>
  </si>
  <si>
    <t>勤務日</t>
    <rPh sb="0" eb="3">
      <t>キンムビ</t>
    </rPh>
    <phoneticPr fontId="3"/>
  </si>
  <si>
    <t>出退勤時刻</t>
    <rPh sb="0" eb="3">
      <t>シュツタイキン</t>
    </rPh>
    <rPh sb="3" eb="5">
      <t>ジコク</t>
    </rPh>
    <phoneticPr fontId="3"/>
  </si>
  <si>
    <t>実働時間</t>
    <rPh sb="0" eb="2">
      <t>ジツドウ</t>
    </rPh>
    <rPh sb="2" eb="4">
      <t>ジカン</t>
    </rPh>
    <phoneticPr fontId="3"/>
  </si>
  <si>
    <t>備考</t>
    <rPh sb="0" eb="2">
      <t>ビコウ</t>
    </rPh>
    <phoneticPr fontId="3"/>
  </si>
  <si>
    <t>日付</t>
    <rPh sb="0" eb="2">
      <t>ヒヅケ</t>
    </rPh>
    <phoneticPr fontId="3"/>
  </si>
  <si>
    <t>曜日</t>
    <rPh sb="0" eb="2">
      <t>ヨウビ</t>
    </rPh>
    <phoneticPr fontId="3"/>
  </si>
  <si>
    <t>出勤</t>
    <rPh sb="0" eb="2">
      <t>シュッキン</t>
    </rPh>
    <phoneticPr fontId="3"/>
  </si>
  <si>
    <t>退勤</t>
    <rPh sb="0" eb="2">
      <t>タイキン</t>
    </rPh>
    <phoneticPr fontId="3"/>
  </si>
  <si>
    <t>休憩</t>
    <rPh sb="0" eb="2">
      <t>キュウケイ</t>
    </rPh>
    <phoneticPr fontId="3"/>
  </si>
  <si>
    <t>勤怠状況</t>
    <rPh sb="0" eb="2">
      <t>キンタイ</t>
    </rPh>
    <rPh sb="2" eb="4">
      <t>ジョウキョウ</t>
    </rPh>
    <phoneticPr fontId="3"/>
  </si>
  <si>
    <t>残業反映表</t>
    <rPh sb="0" eb="4">
      <t>ザンギョウハンエイ</t>
    </rPh>
    <rPh sb="4" eb="5">
      <t>ヒョウ</t>
    </rPh>
    <phoneticPr fontId="3"/>
  </si>
  <si>
    <t>残業過不足チェッカー</t>
    <rPh sb="0" eb="2">
      <t>ザンギョウ</t>
    </rPh>
    <rPh sb="2" eb="5">
      <t>カブソク</t>
    </rPh>
    <phoneticPr fontId="3"/>
  </si>
  <si>
    <t>①：年間見込み残業時間</t>
    <rPh sb="2" eb="4">
      <t>ネンカン</t>
    </rPh>
    <rPh sb="4" eb="6">
      <t>ミコ</t>
    </rPh>
    <rPh sb="7" eb="9">
      <t>ザンギョウ</t>
    </rPh>
    <rPh sb="9" eb="11">
      <t>ジカン</t>
    </rPh>
    <phoneticPr fontId="3"/>
  </si>
  <si>
    <t>②：①に対する過不足時間</t>
    <rPh sb="4" eb="5">
      <t>タイ</t>
    </rPh>
    <rPh sb="7" eb="10">
      <t>カブソク</t>
    </rPh>
    <rPh sb="10" eb="12">
      <t>ジカン</t>
    </rPh>
    <phoneticPr fontId="3"/>
  </si>
  <si>
    <t>③：①と②の合計時間</t>
    <rPh sb="6" eb="8">
      <t>ゴウケイ</t>
    </rPh>
    <rPh sb="8" eb="10">
      <t>ジカン</t>
    </rPh>
    <phoneticPr fontId="3"/>
  </si>
  <si>
    <t>月</t>
    <rPh sb="0" eb="1">
      <t>ツキ</t>
    </rPh>
    <phoneticPr fontId="3"/>
  </si>
  <si>
    <t>出勤日数</t>
    <rPh sb="0" eb="2">
      <t>シュッキン</t>
    </rPh>
    <rPh sb="2" eb="4">
      <t>ニッスウ</t>
    </rPh>
    <phoneticPr fontId="3"/>
  </si>
  <si>
    <t>①:所定労働時間</t>
    <rPh sb="2" eb="8">
      <t>ショテイロウドウジカン</t>
    </rPh>
    <phoneticPr fontId="3"/>
  </si>
  <si>
    <t>②:見込み残業時間</t>
    <rPh sb="2" eb="4">
      <t>ミコ</t>
    </rPh>
    <rPh sb="5" eb="7">
      <t>ザンギョウ</t>
    </rPh>
    <rPh sb="7" eb="9">
      <t>ジカン</t>
    </rPh>
    <phoneticPr fontId="3"/>
  </si>
  <si>
    <t>③:①+②=勤務時間</t>
    <rPh sb="6" eb="8">
      <t>キンム</t>
    </rPh>
    <rPh sb="8" eb="10">
      <t>ジカン</t>
    </rPh>
    <phoneticPr fontId="3"/>
  </si>
  <si>
    <t>④:見込み残業修正</t>
    <rPh sb="2" eb="4">
      <t>ミコ</t>
    </rPh>
    <rPh sb="5" eb="7">
      <t>ザンギョウ</t>
    </rPh>
    <rPh sb="7" eb="9">
      <t>シュウセイ</t>
    </rPh>
    <phoneticPr fontId="3"/>
  </si>
  <si>
    <t>名称</t>
    <rPh sb="0" eb="2">
      <t>メイショウ</t>
    </rPh>
    <phoneticPr fontId="3"/>
  </si>
  <si>
    <t xml:space="preserve"> 元日</t>
    <phoneticPr fontId="3"/>
  </si>
  <si>
    <t>建国記念の日</t>
    <phoneticPr fontId="3"/>
  </si>
  <si>
    <t>春分の日</t>
    <phoneticPr fontId="3"/>
  </si>
  <si>
    <t>昭和の日</t>
    <phoneticPr fontId="3"/>
  </si>
  <si>
    <t>憲法記念日</t>
    <phoneticPr fontId="3"/>
  </si>
  <si>
    <t>みどりの日</t>
    <phoneticPr fontId="3"/>
  </si>
  <si>
    <t>こどもの日</t>
    <phoneticPr fontId="3"/>
  </si>
  <si>
    <t>海の日</t>
    <phoneticPr fontId="3"/>
  </si>
  <si>
    <t>山の日</t>
    <phoneticPr fontId="3"/>
  </si>
  <si>
    <t>敬老の日</t>
    <phoneticPr fontId="3"/>
  </si>
  <si>
    <t>秋分の日</t>
    <phoneticPr fontId="3"/>
  </si>
  <si>
    <t>体育の日</t>
    <phoneticPr fontId="3"/>
  </si>
  <si>
    <t>文化の日</t>
    <phoneticPr fontId="3"/>
  </si>
  <si>
    <t>勤労感謝の日</t>
    <phoneticPr fontId="3"/>
  </si>
  <si>
    <t>天皇誕生日. </t>
    <phoneticPr fontId="3"/>
  </si>
  <si>
    <t>祝日</t>
    <rPh sb="0" eb="2">
      <t>シュクジツ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</si>
</sst>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d"/>
    <numFmt numFmtId="177" formatCode="h:mm;@"/>
    <numFmt numFmtId="178" formatCode="aaa"/>
    <numFmt numFmtId="179" formatCode="0_ "/>
  </numFmts>
  <fonts count="18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0"/>
      <name val="游ゴシック"/>
      <family val="2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sz val="11"/>
      <color rgb="FFFFFFFF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24"/>
      <color rgb="FFFF0000"/>
      <name val="游ゴシック"/>
      <family val="3"/>
      <charset val="128"/>
      <scheme val="minor"/>
    </font>
    <font>
      <sz val="10"/>
      <color rgb="FFFF0000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CDCDC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48">
    <xf numFmtId="0" fontId="0" fillId="0" borderId="0" xfId="0">
      <alignment vertical="center"/>
    </xf>
    <xf numFmtId="0" fontId="2" fillId="0" borderId="0" xfId="0" applyFont="1">
      <alignment vertical="center"/>
    </xf>
    <xf numFmtId="55" fontId="4" fillId="0" borderId="0" xfId="0" applyNumberFormat="1" applyFont="1" applyAlignment="1">
      <alignment vertical="center" wrapText="1"/>
    </xf>
    <xf numFmtId="0" fontId="5" fillId="0" borderId="5" xfId="0" applyFont="1" applyBorder="1">
      <alignment vertical="center"/>
    </xf>
    <xf numFmtId="0" fontId="5" fillId="0" borderId="12" xfId="0" applyFont="1" applyBorder="1">
      <alignment vertical="center"/>
    </xf>
    <xf numFmtId="0" fontId="7" fillId="0" borderId="0" xfId="0" applyFont="1">
      <alignment vertical="center"/>
    </xf>
    <xf numFmtId="21" fontId="8" fillId="0" borderId="0" xfId="0" applyNumberFormat="1" applyFont="1">
      <alignment vertical="center"/>
    </xf>
    <xf numFmtId="0" fontId="0" fillId="0" borderId="12" xfId="0" applyBorder="1">
      <alignment vertical="center"/>
    </xf>
    <xf numFmtId="0" fontId="5" fillId="0" borderId="4" xfId="0" applyFont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176" fontId="0" fillId="0" borderId="5" xfId="0" applyNumberFormat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20" fontId="10" fillId="0" borderId="5" xfId="0" applyNumberFormat="1" applyFont="1" applyBorder="1" applyProtection="1">
      <alignment vertical="center"/>
      <protection locked="0"/>
    </xf>
    <xf numFmtId="20" fontId="10" fillId="4" borderId="5" xfId="0" applyNumberFormat="1" applyFont="1" applyFill="1" applyBorder="1">
      <alignment vertical="center"/>
    </xf>
    <xf numFmtId="0" fontId="10" fillId="4" borderId="5" xfId="0" applyFont="1" applyFill="1" applyBorder="1" applyAlignment="1">
      <alignment horizontal="right" vertical="center"/>
    </xf>
    <xf numFmtId="2" fontId="10" fillId="4" borderId="15" xfId="0" applyNumberFormat="1" applyFont="1" applyFill="1" applyBorder="1">
      <alignment vertical="center"/>
    </xf>
    <xf numFmtId="177" fontId="10" fillId="0" borderId="16" xfId="0" applyNumberFormat="1" applyFont="1" applyBorder="1" applyProtection="1">
      <alignment vertical="center"/>
      <protection locked="0"/>
    </xf>
    <xf numFmtId="177" fontId="10" fillId="0" borderId="17" xfId="0" applyNumberFormat="1" applyFont="1" applyBorder="1" applyProtection="1">
      <alignment vertical="center"/>
      <protection locked="0"/>
    </xf>
    <xf numFmtId="177" fontId="10" fillId="4" borderId="18" xfId="0" applyNumberFormat="1" applyFont="1" applyFill="1" applyBorder="1">
      <alignment vertical="center"/>
    </xf>
    <xf numFmtId="2" fontId="10" fillId="4" borderId="12" xfId="0" applyNumberFormat="1" applyFont="1" applyFill="1" applyBorder="1">
      <alignment vertical="center"/>
    </xf>
    <xf numFmtId="0" fontId="10" fillId="4" borderId="9" xfId="0" applyFont="1" applyFill="1" applyBorder="1">
      <alignment vertical="center"/>
    </xf>
    <xf numFmtId="0" fontId="0" fillId="0" borderId="5" xfId="0" applyBorder="1">
      <alignment vertical="center"/>
    </xf>
    <xf numFmtId="2" fontId="10" fillId="4" borderId="19" xfId="0" applyNumberFormat="1" applyFont="1" applyFill="1" applyBorder="1">
      <alignment vertical="center"/>
    </xf>
    <xf numFmtId="177" fontId="10" fillId="0" borderId="18" xfId="0" applyNumberFormat="1" applyFont="1" applyBorder="1" applyProtection="1">
      <alignment vertical="center"/>
      <protection locked="0"/>
    </xf>
    <xf numFmtId="177" fontId="10" fillId="0" borderId="20" xfId="0" applyNumberFormat="1" applyFont="1" applyBorder="1" applyProtection="1">
      <alignment vertical="center"/>
      <protection locked="0"/>
    </xf>
    <xf numFmtId="177" fontId="10" fillId="0" borderId="19" xfId="0" applyNumberFormat="1" applyFont="1" applyBorder="1" applyProtection="1">
      <alignment vertical="center"/>
      <protection locked="0"/>
    </xf>
    <xf numFmtId="176" fontId="0" fillId="0" borderId="12" xfId="0" applyNumberFormat="1" applyBorder="1" applyAlignment="1" applyProtection="1">
      <alignment horizontal="center" vertical="center"/>
      <protection locked="0"/>
    </xf>
    <xf numFmtId="0" fontId="5" fillId="0" borderId="12" xfId="0" applyFont="1" applyBorder="1" applyAlignment="1" applyProtection="1">
      <alignment horizontal="center" vertical="center"/>
      <protection locked="0"/>
    </xf>
    <xf numFmtId="20" fontId="10" fillId="0" borderId="12" xfId="0" applyNumberFormat="1" applyFont="1" applyBorder="1" applyProtection="1">
      <alignment vertical="center"/>
      <protection locked="0"/>
    </xf>
    <xf numFmtId="20" fontId="10" fillId="4" borderId="12" xfId="0" applyNumberFormat="1" applyFont="1" applyFill="1" applyBorder="1">
      <alignment vertical="center"/>
    </xf>
    <xf numFmtId="0" fontId="10" fillId="4" borderId="12" xfId="0" applyFont="1" applyFill="1" applyBorder="1" applyAlignment="1">
      <alignment horizontal="right" vertical="center"/>
    </xf>
    <xf numFmtId="2" fontId="10" fillId="4" borderId="9" xfId="0" applyNumberFormat="1" applyFont="1" applyFill="1" applyBorder="1">
      <alignment vertical="center"/>
    </xf>
    <xf numFmtId="177" fontId="10" fillId="4" borderId="10" xfId="0" applyNumberFormat="1" applyFont="1" applyFill="1" applyBorder="1">
      <alignment vertical="center"/>
    </xf>
    <xf numFmtId="178" fontId="5" fillId="0" borderId="5" xfId="0" applyNumberFormat="1" applyFont="1" applyBorder="1" applyAlignment="1" applyProtection="1">
      <alignment horizontal="center" vertical="center"/>
      <protection locked="0"/>
    </xf>
    <xf numFmtId="0" fontId="5" fillId="0" borderId="0" xfId="0" applyFont="1">
      <alignment vertical="center"/>
    </xf>
    <xf numFmtId="0" fontId="10" fillId="0" borderId="0" xfId="0" applyFont="1">
      <alignment vertical="center"/>
    </xf>
    <xf numFmtId="0" fontId="7" fillId="0" borderId="30" xfId="0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7" fillId="0" borderId="23" xfId="0" applyFont="1" applyBorder="1">
      <alignment vertical="center"/>
    </xf>
    <xf numFmtId="0" fontId="7" fillId="0" borderId="35" xfId="0" applyFont="1" applyBorder="1">
      <alignment vertical="center"/>
    </xf>
    <xf numFmtId="0" fontId="7" fillId="0" borderId="26" xfId="0" applyFont="1" applyBorder="1">
      <alignment vertical="center"/>
    </xf>
    <xf numFmtId="177" fontId="10" fillId="0" borderId="5" xfId="0" applyNumberFormat="1" applyFont="1" applyBorder="1" applyProtection="1">
      <alignment vertical="center"/>
      <protection locked="0"/>
    </xf>
    <xf numFmtId="177" fontId="10" fillId="0" borderId="12" xfId="0" applyNumberFormat="1" applyFont="1" applyBorder="1" applyProtection="1">
      <alignment vertical="center"/>
      <protection locked="0"/>
    </xf>
    <xf numFmtId="14" fontId="12" fillId="7" borderId="0" xfId="0" applyNumberFormat="1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>
      <alignment vertical="center"/>
    </xf>
    <xf numFmtId="0" fontId="0" fillId="0" borderId="3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79" fontId="16" fillId="6" borderId="21" xfId="0" applyNumberFormat="1" applyFont="1" applyFill="1" applyBorder="1" applyAlignment="1" applyProtection="1">
      <alignment horizontal="center" vertical="center"/>
      <protection locked="0"/>
    </xf>
    <xf numFmtId="179" fontId="16" fillId="6" borderId="22" xfId="0" applyNumberFormat="1" applyFont="1" applyFill="1" applyBorder="1" applyAlignment="1" applyProtection="1">
      <alignment horizontal="center" vertical="center"/>
      <protection locked="0"/>
    </xf>
    <xf numFmtId="179" fontId="16" fillId="6" borderId="42" xfId="0" applyNumberFormat="1" applyFont="1" applyFill="1" applyBorder="1" applyAlignment="1" applyProtection="1">
      <alignment horizontal="center" vertical="center"/>
      <protection locked="0"/>
    </xf>
    <xf numFmtId="179" fontId="16" fillId="6" borderId="24" xfId="0" applyNumberFormat="1" applyFont="1" applyFill="1" applyBorder="1" applyAlignment="1" applyProtection="1">
      <alignment horizontal="center" vertical="center"/>
      <protection locked="0"/>
    </xf>
    <xf numFmtId="179" fontId="16" fillId="6" borderId="25" xfId="0" applyNumberFormat="1" applyFont="1" applyFill="1" applyBorder="1" applyAlignment="1" applyProtection="1">
      <alignment horizontal="center" vertical="center"/>
      <protection locked="0"/>
    </xf>
    <xf numFmtId="179" fontId="16" fillId="6" borderId="26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0" fillId="0" borderId="21" xfId="0" applyFont="1" applyBorder="1" applyAlignment="1">
      <alignment horizontal="left" vertical="center"/>
    </xf>
    <xf numFmtId="0" fontId="10" fillId="0" borderId="22" xfId="0" applyFont="1" applyBorder="1" applyAlignment="1">
      <alignment horizontal="left" vertical="center"/>
    </xf>
    <xf numFmtId="0" fontId="10" fillId="0" borderId="31" xfId="0" applyFont="1" applyBorder="1" applyAlignment="1">
      <alignment horizontal="left" vertical="center"/>
    </xf>
    <xf numFmtId="0" fontId="10" fillId="0" borderId="34" xfId="0" applyFont="1" applyBorder="1" applyAlignment="1">
      <alignment horizontal="left" vertical="center"/>
    </xf>
    <xf numFmtId="0" fontId="10" fillId="0" borderId="11" xfId="0" applyFont="1" applyBorder="1" applyAlignment="1">
      <alignment horizontal="left" vertical="center"/>
    </xf>
    <xf numFmtId="0" fontId="10" fillId="0" borderId="10" xfId="0" applyFont="1" applyBorder="1" applyAlignment="1">
      <alignment horizontal="left" vertical="center"/>
    </xf>
    <xf numFmtId="0" fontId="10" fillId="0" borderId="24" xfId="0" applyFont="1" applyBorder="1" applyAlignment="1">
      <alignment horizontal="left" vertical="center"/>
    </xf>
    <xf numFmtId="0" fontId="10" fillId="0" borderId="25" xfId="0" applyFont="1" applyBorder="1" applyAlignment="1">
      <alignment horizontal="left" vertical="center"/>
    </xf>
    <xf numFmtId="0" fontId="10" fillId="0" borderId="33" xfId="0" applyFont="1" applyBorder="1" applyAlignment="1">
      <alignment horizontal="left" vertical="center"/>
    </xf>
    <xf numFmtId="0" fontId="10" fillId="0" borderId="28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0" fontId="10" fillId="0" borderId="41" xfId="0" applyFont="1" applyBorder="1" applyAlignment="1">
      <alignment horizontal="center" vertical="center"/>
    </xf>
    <xf numFmtId="0" fontId="10" fillId="0" borderId="29" xfId="0" applyFont="1" applyBorder="1" applyAlignment="1">
      <alignment horizontal="center" vertical="center"/>
    </xf>
    <xf numFmtId="0" fontId="10" fillId="0" borderId="39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0" fontId="16" fillId="8" borderId="21" xfId="0" applyFont="1" applyFill="1" applyBorder="1" applyAlignment="1" applyProtection="1">
      <alignment horizontal="center" vertical="center"/>
      <protection locked="0"/>
    </xf>
    <xf numFmtId="0" fontId="16" fillId="8" borderId="22" xfId="0" applyFont="1" applyFill="1" applyBorder="1" applyAlignment="1" applyProtection="1">
      <alignment horizontal="center" vertical="center"/>
      <protection locked="0"/>
    </xf>
    <xf numFmtId="0" fontId="16" fillId="8" borderId="42" xfId="0" applyFont="1" applyFill="1" applyBorder="1" applyAlignment="1" applyProtection="1">
      <alignment horizontal="center" vertical="center"/>
      <protection locked="0"/>
    </xf>
    <xf numFmtId="0" fontId="16" fillId="8" borderId="24" xfId="0" applyFont="1" applyFill="1" applyBorder="1" applyAlignment="1" applyProtection="1">
      <alignment horizontal="center" vertical="center"/>
      <protection locked="0"/>
    </xf>
    <xf numFmtId="0" fontId="16" fillId="8" borderId="25" xfId="0" applyFont="1" applyFill="1" applyBorder="1" applyAlignment="1" applyProtection="1">
      <alignment horizontal="center" vertical="center"/>
      <protection locked="0"/>
    </xf>
    <xf numFmtId="0" fontId="16" fillId="8" borderId="26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9" fillId="5" borderId="12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5" fillId="0" borderId="5" xfId="0" applyFont="1" applyBorder="1">
      <alignment vertical="center"/>
    </xf>
    <xf numFmtId="0" fontId="6" fillId="0" borderId="5" xfId="0" applyFont="1" applyBorder="1">
      <alignment vertical="center"/>
    </xf>
    <xf numFmtId="49" fontId="4" fillId="0" borderId="6" xfId="0" applyNumberFormat="1" applyFont="1" applyBorder="1" applyAlignment="1" applyProtection="1">
      <alignment horizontal="center" vertical="center"/>
      <protection locked="0"/>
    </xf>
    <xf numFmtId="49" fontId="4" fillId="0" borderId="7" xfId="0" applyNumberFormat="1" applyFont="1" applyBorder="1" applyAlignment="1" applyProtection="1">
      <alignment horizontal="center" vertical="center"/>
      <protection locked="0"/>
    </xf>
    <xf numFmtId="49" fontId="4" fillId="0" borderId="8" xfId="0" applyNumberFormat="1" applyFont="1" applyBorder="1" applyAlignment="1" applyProtection="1">
      <alignment horizontal="center" vertical="center"/>
      <protection locked="0"/>
    </xf>
    <xf numFmtId="40" fontId="4" fillId="4" borderId="6" xfId="1" applyNumberFormat="1" applyFont="1" applyFill="1" applyBorder="1" applyAlignment="1">
      <alignment horizontal="right" vertical="center"/>
    </xf>
    <xf numFmtId="40" fontId="4" fillId="4" borderId="8" xfId="1" applyNumberFormat="1" applyFont="1" applyFill="1" applyBorder="1" applyAlignment="1">
      <alignment horizontal="right" vertical="center"/>
    </xf>
    <xf numFmtId="0" fontId="6" fillId="0" borderId="9" xfId="0" applyFont="1" applyBorder="1">
      <alignment vertical="center"/>
    </xf>
    <xf numFmtId="0" fontId="6" fillId="0" borderId="10" xfId="0" applyFont="1" applyBorder="1">
      <alignment vertical="center"/>
    </xf>
    <xf numFmtId="38" fontId="4" fillId="0" borderId="9" xfId="1" applyFont="1" applyBorder="1" applyAlignment="1" applyProtection="1">
      <alignment horizontal="center" vertical="center"/>
      <protection locked="0"/>
    </xf>
    <xf numFmtId="38" fontId="4" fillId="0" borderId="11" xfId="1" applyFont="1" applyBorder="1" applyAlignment="1" applyProtection="1">
      <alignment horizontal="center" vertical="center"/>
      <protection locked="0"/>
    </xf>
    <xf numFmtId="38" fontId="4" fillId="0" borderId="10" xfId="1" applyFont="1" applyBorder="1" applyAlignment="1" applyProtection="1">
      <alignment horizontal="center" vertical="center"/>
      <protection locked="0"/>
    </xf>
    <xf numFmtId="38" fontId="4" fillId="4" borderId="9" xfId="1" applyFont="1" applyFill="1" applyBorder="1" applyAlignment="1">
      <alignment horizontal="right" vertical="center"/>
    </xf>
    <xf numFmtId="38" fontId="4" fillId="4" borderId="10" xfId="1" applyFont="1" applyFill="1" applyBorder="1" applyAlignment="1">
      <alignment horizontal="right" vertical="center"/>
    </xf>
    <xf numFmtId="0" fontId="17" fillId="9" borderId="43" xfId="0" applyFont="1" applyFill="1" applyBorder="1" applyAlignment="1" applyProtection="1">
      <alignment horizontal="center" vertical="center"/>
    </xf>
    <xf numFmtId="0" fontId="17" fillId="9" borderId="44" xfId="0" applyFont="1" applyFill="1" applyBorder="1" applyAlignment="1" applyProtection="1">
      <alignment horizontal="center" vertical="center"/>
    </xf>
    <xf numFmtId="0" fontId="17" fillId="9" borderId="45" xfId="0" applyFont="1" applyFill="1" applyBorder="1" applyAlignment="1" applyProtection="1">
      <alignment horizontal="center" vertical="center"/>
    </xf>
    <xf numFmtId="0" fontId="17" fillId="9" borderId="9" xfId="0" applyFont="1" applyFill="1" applyBorder="1" applyAlignment="1" applyProtection="1">
      <alignment horizontal="center" vertical="center"/>
    </xf>
    <xf numFmtId="0" fontId="17" fillId="9" borderId="11" xfId="0" applyFont="1" applyFill="1" applyBorder="1" applyAlignment="1" applyProtection="1">
      <alignment horizontal="center" vertical="center"/>
    </xf>
    <xf numFmtId="0" fontId="17" fillId="9" borderId="35" xfId="0" applyFont="1" applyFill="1" applyBorder="1" applyAlignment="1" applyProtection="1">
      <alignment horizontal="center" vertical="center"/>
    </xf>
    <xf numFmtId="0" fontId="17" fillId="0" borderId="9" xfId="0" applyFont="1" applyFill="1" applyBorder="1" applyAlignment="1" applyProtection="1">
      <alignment horizontal="center" vertical="center"/>
      <protection locked="0"/>
    </xf>
    <xf numFmtId="0" fontId="17" fillId="0" borderId="11" xfId="0" applyFont="1" applyFill="1" applyBorder="1" applyAlignment="1" applyProtection="1">
      <alignment horizontal="center" vertical="center"/>
      <protection locked="0"/>
    </xf>
    <xf numFmtId="0" fontId="17" fillId="0" borderId="35" xfId="0" applyFont="1" applyFill="1" applyBorder="1" applyAlignment="1" applyProtection="1">
      <alignment horizontal="center" vertical="center"/>
      <protection locked="0"/>
    </xf>
    <xf numFmtId="0" fontId="17" fillId="0" borderId="46" xfId="0" applyFont="1" applyFill="1" applyBorder="1" applyAlignment="1" applyProtection="1">
      <alignment horizontal="center" vertical="center"/>
      <protection locked="0"/>
    </xf>
    <xf numFmtId="0" fontId="17" fillId="0" borderId="47" xfId="0" applyFont="1" applyFill="1" applyBorder="1" applyAlignment="1" applyProtection="1">
      <alignment horizontal="center" vertical="center"/>
      <protection locked="0"/>
    </xf>
    <xf numFmtId="0" fontId="17" fillId="0" borderId="48" xfId="0" applyFont="1" applyFill="1" applyBorder="1" applyAlignment="1" applyProtection="1">
      <alignment horizontal="center" vertical="center"/>
      <protection locked="0"/>
    </xf>
    <xf numFmtId="0" fontId="14" fillId="0" borderId="0" xfId="0" applyFont="1" applyFill="1">
      <alignment vertical="center"/>
    </xf>
    <xf numFmtId="0" fontId="0" fillId="0" borderId="20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10" fillId="0" borderId="9" xfId="0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center" vertical="center"/>
    </xf>
    <xf numFmtId="0" fontId="10" fillId="0" borderId="10" xfId="0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36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0" fillId="0" borderId="39" xfId="0" applyFont="1" applyFill="1" applyBorder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10" fillId="0" borderId="32" xfId="0" applyFont="1" applyFill="1" applyBorder="1" applyAlignment="1">
      <alignment horizontal="center" vertical="center"/>
    </xf>
    <xf numFmtId="0" fontId="0" fillId="0" borderId="37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10" fillId="0" borderId="40" xfId="0" applyFont="1" applyFill="1" applyBorder="1" applyAlignment="1">
      <alignment horizontal="center" vertical="center"/>
    </xf>
    <xf numFmtId="0" fontId="10" fillId="0" borderId="25" xfId="0" applyFont="1" applyFill="1" applyBorder="1" applyAlignment="1">
      <alignment horizontal="center" vertical="center"/>
    </xf>
    <xf numFmtId="0" fontId="10" fillId="0" borderId="33" xfId="0" applyFon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129540</xdr:colOff>
          <xdr:row>5</xdr:row>
          <xdr:rowOff>0</xdr:rowOff>
        </xdr:from>
        <xdr:to>
          <xdr:col>19</xdr:col>
          <xdr:colOff>266700</xdr:colOff>
          <xdr:row>6</xdr:row>
          <xdr:rowOff>160020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年度勤務管理表一括作成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144780</xdr:colOff>
          <xdr:row>7</xdr:row>
          <xdr:rowOff>91440</xdr:rowOff>
        </xdr:from>
        <xdr:to>
          <xdr:col>19</xdr:col>
          <xdr:colOff>266700</xdr:colOff>
          <xdr:row>8</xdr:row>
          <xdr:rowOff>236220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月別の個別修正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144780</xdr:colOff>
          <xdr:row>3</xdr:row>
          <xdr:rowOff>53340</xdr:rowOff>
        </xdr:from>
        <xdr:to>
          <xdr:col>19</xdr:col>
          <xdr:colOff>274320</xdr:colOff>
          <xdr:row>4</xdr:row>
          <xdr:rowOff>160020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過去年度ファイル出力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FF096-1929-43A6-9054-26346CAD5777}">
  <sheetPr codeName="Sheet1"/>
  <dimension ref="A1:T26"/>
  <sheetViews>
    <sheetView tabSelected="1" zoomScale="67" zoomScaleNormal="86" workbookViewId="0">
      <selection activeCell="Q19" sqref="Q19:T19"/>
    </sheetView>
  </sheetViews>
  <sheetFormatPr defaultColWidth="3.69921875" defaultRowHeight="18" x14ac:dyDescent="0.45"/>
  <cols>
    <col min="2" max="2" width="5.69921875" bestFit="1" customWidth="1"/>
    <col min="8" max="8" width="4.19921875" bestFit="1" customWidth="1"/>
  </cols>
  <sheetData>
    <row r="1" spans="1:20" ht="18.600000000000001" thickBot="1" x14ac:dyDescent="0.5"/>
    <row r="2" spans="1:20" x14ac:dyDescent="0.45">
      <c r="B2" s="54">
        <v>2025</v>
      </c>
      <c r="C2" s="55"/>
      <c r="D2" s="55"/>
      <c r="E2" s="56"/>
      <c r="H2" s="60" t="s">
        <v>22</v>
      </c>
      <c r="I2" s="60"/>
      <c r="J2" s="60"/>
      <c r="K2" s="60"/>
      <c r="L2" s="60"/>
      <c r="M2" s="60"/>
    </row>
    <row r="3" spans="1:20" ht="18.600000000000001" thickBot="1" x14ac:dyDescent="0.5">
      <c r="B3" s="57"/>
      <c r="C3" s="58"/>
      <c r="D3" s="58"/>
      <c r="E3" s="59"/>
      <c r="F3" t="s">
        <v>0</v>
      </c>
      <c r="H3" s="60"/>
      <c r="I3" s="60"/>
      <c r="J3" s="60"/>
      <c r="K3" s="60"/>
      <c r="L3" s="60"/>
      <c r="M3" s="60"/>
    </row>
    <row r="4" spans="1:20" x14ac:dyDescent="0.45">
      <c r="B4" s="84">
        <v>2021</v>
      </c>
      <c r="C4" s="85"/>
      <c r="D4" s="85"/>
      <c r="E4" s="86"/>
    </row>
    <row r="5" spans="1:20" ht="18.600000000000001" thickBot="1" x14ac:dyDescent="0.5">
      <c r="B5" s="87"/>
      <c r="C5" s="88"/>
      <c r="D5" s="88"/>
      <c r="E5" s="89"/>
      <c r="F5" t="s">
        <v>0</v>
      </c>
    </row>
    <row r="6" spans="1:20" ht="18.600000000000001" thickBot="1" x14ac:dyDescent="0.5">
      <c r="B6" s="61" t="s">
        <v>23</v>
      </c>
      <c r="C6" s="62"/>
      <c r="D6" s="62"/>
      <c r="E6" s="62"/>
      <c r="F6" s="62"/>
      <c r="G6" s="62"/>
      <c r="H6" s="63"/>
    </row>
    <row r="7" spans="1:20" x14ac:dyDescent="0.45">
      <c r="B7" s="64" t="s">
        <v>24</v>
      </c>
      <c r="C7" s="65"/>
      <c r="D7" s="65"/>
      <c r="E7" s="65"/>
      <c r="F7" s="65"/>
      <c r="G7" s="66"/>
      <c r="H7" s="42">
        <v>360</v>
      </c>
    </row>
    <row r="8" spans="1:20" x14ac:dyDescent="0.45">
      <c r="B8" s="67" t="s">
        <v>25</v>
      </c>
      <c r="C8" s="68"/>
      <c r="D8" s="68"/>
      <c r="E8" s="68"/>
      <c r="F8" s="68"/>
      <c r="G8" s="69"/>
      <c r="H8" s="43">
        <v>0</v>
      </c>
    </row>
    <row r="9" spans="1:20" ht="18.600000000000001" thickBot="1" x14ac:dyDescent="0.5">
      <c r="B9" s="70" t="s">
        <v>26</v>
      </c>
      <c r="C9" s="71"/>
      <c r="D9" s="71"/>
      <c r="E9" s="71"/>
      <c r="F9" s="71"/>
      <c r="G9" s="72"/>
      <c r="H9" s="44">
        <v>360</v>
      </c>
    </row>
    <row r="11" spans="1:20" ht="18.600000000000001" thickBot="1" x14ac:dyDescent="0.5"/>
    <row r="12" spans="1:20" s="39" customFormat="1" ht="16.8" thickBot="1" x14ac:dyDescent="0.5">
      <c r="B12" s="40" t="s">
        <v>27</v>
      </c>
      <c r="C12" s="73" t="s">
        <v>28</v>
      </c>
      <c r="D12" s="73"/>
      <c r="E12" s="78" t="s">
        <v>29</v>
      </c>
      <c r="F12" s="73"/>
      <c r="G12" s="73"/>
      <c r="H12" s="79"/>
      <c r="I12" s="73" t="s">
        <v>30</v>
      </c>
      <c r="J12" s="73"/>
      <c r="K12" s="73"/>
      <c r="L12" s="73"/>
      <c r="M12" s="78" t="s">
        <v>31</v>
      </c>
      <c r="N12" s="73"/>
      <c r="O12" s="73"/>
      <c r="P12" s="79"/>
      <c r="Q12" s="73" t="s">
        <v>32</v>
      </c>
      <c r="R12" s="73"/>
      <c r="S12" s="73"/>
      <c r="T12" s="80"/>
    </row>
    <row r="13" spans="1:20" x14ac:dyDescent="0.45">
      <c r="A13" s="50">
        <v>1.5</v>
      </c>
      <c r="B13" s="51">
        <v>1</v>
      </c>
      <c r="C13" s="53">
        <v>22</v>
      </c>
      <c r="D13" s="53"/>
      <c r="E13" s="81">
        <v>168</v>
      </c>
      <c r="F13" s="82"/>
      <c r="G13" s="82"/>
      <c r="H13" s="83"/>
      <c r="I13" s="82">
        <v>33</v>
      </c>
      <c r="J13" s="82"/>
      <c r="K13" s="82"/>
      <c r="L13" s="82"/>
      <c r="M13" s="81">
        <v>201</v>
      </c>
      <c r="N13" s="82"/>
      <c r="O13" s="82"/>
      <c r="P13" s="83"/>
      <c r="Q13" s="119"/>
      <c r="R13" s="120"/>
      <c r="S13" s="120"/>
      <c r="T13" s="121"/>
    </row>
    <row r="14" spans="1:20" s="137" customFormat="1" x14ac:dyDescent="0.45">
      <c r="A14" s="131">
        <v>-7.8947368421052627E-2</v>
      </c>
      <c r="B14" s="132">
        <v>2</v>
      </c>
      <c r="C14" s="133">
        <v>19</v>
      </c>
      <c r="D14" s="133"/>
      <c r="E14" s="134">
        <v>168</v>
      </c>
      <c r="F14" s="135"/>
      <c r="G14" s="135"/>
      <c r="H14" s="136"/>
      <c r="I14" s="135">
        <v>30</v>
      </c>
      <c r="J14" s="135"/>
      <c r="K14" s="135"/>
      <c r="L14" s="135"/>
      <c r="M14" s="134">
        <v>198</v>
      </c>
      <c r="N14" s="135"/>
      <c r="O14" s="135"/>
      <c r="P14" s="136"/>
      <c r="Q14" s="122"/>
      <c r="R14" s="123"/>
      <c r="S14" s="123"/>
      <c r="T14" s="124"/>
    </row>
    <row r="15" spans="1:20" s="137" customFormat="1" x14ac:dyDescent="0.45">
      <c r="A15" s="131">
        <v>1</v>
      </c>
      <c r="B15" s="138">
        <v>3</v>
      </c>
      <c r="C15" s="139">
        <v>20</v>
      </c>
      <c r="D15" s="139"/>
      <c r="E15" s="140">
        <v>168</v>
      </c>
      <c r="F15" s="141"/>
      <c r="G15" s="141"/>
      <c r="H15" s="142"/>
      <c r="I15" s="141">
        <v>30</v>
      </c>
      <c r="J15" s="141"/>
      <c r="K15" s="141"/>
      <c r="L15" s="141"/>
      <c r="M15" s="140">
        <v>198</v>
      </c>
      <c r="N15" s="141"/>
      <c r="O15" s="141"/>
      <c r="P15" s="142"/>
      <c r="Q15" s="122"/>
      <c r="R15" s="123"/>
      <c r="S15" s="123"/>
      <c r="T15" s="124"/>
    </row>
    <row r="16" spans="1:20" s="137" customFormat="1" x14ac:dyDescent="0.45">
      <c r="A16" s="131">
        <v>1.0238095238095237</v>
      </c>
      <c r="B16" s="132">
        <v>4</v>
      </c>
      <c r="C16" s="133">
        <v>21</v>
      </c>
      <c r="D16" s="133"/>
      <c r="E16" s="134">
        <v>176</v>
      </c>
      <c r="F16" s="135"/>
      <c r="G16" s="135"/>
      <c r="H16" s="136"/>
      <c r="I16" s="135">
        <v>30</v>
      </c>
      <c r="J16" s="135"/>
      <c r="K16" s="135"/>
      <c r="L16" s="135"/>
      <c r="M16" s="134">
        <v>206</v>
      </c>
      <c r="N16" s="135"/>
      <c r="O16" s="135"/>
      <c r="P16" s="136"/>
      <c r="Q16" s="122"/>
      <c r="R16" s="123"/>
      <c r="S16" s="123"/>
      <c r="T16" s="124"/>
    </row>
    <row r="17" spans="1:20" s="137" customFormat="1" x14ac:dyDescent="0.45">
      <c r="A17" s="131">
        <v>1.5</v>
      </c>
      <c r="B17" s="138">
        <v>5</v>
      </c>
      <c r="C17" s="139">
        <v>21</v>
      </c>
      <c r="D17" s="139"/>
      <c r="E17" s="140">
        <v>160</v>
      </c>
      <c r="F17" s="141"/>
      <c r="G17" s="141"/>
      <c r="H17" s="142"/>
      <c r="I17" s="141">
        <v>30</v>
      </c>
      <c r="J17" s="141"/>
      <c r="K17" s="141"/>
      <c r="L17" s="141"/>
      <c r="M17" s="140">
        <v>190</v>
      </c>
      <c r="N17" s="141"/>
      <c r="O17" s="141"/>
      <c r="P17" s="142"/>
      <c r="Q17" s="122"/>
      <c r="R17" s="123"/>
      <c r="S17" s="123"/>
      <c r="T17" s="124"/>
    </row>
    <row r="18" spans="1:20" x14ac:dyDescent="0.45">
      <c r="A18" s="50">
        <v>1.5</v>
      </c>
      <c r="B18" s="52">
        <v>6</v>
      </c>
      <c r="C18" s="74">
        <v>21</v>
      </c>
      <c r="D18" s="74"/>
      <c r="E18" s="76">
        <v>160</v>
      </c>
      <c r="F18" s="75"/>
      <c r="G18" s="75"/>
      <c r="H18" s="77"/>
      <c r="I18" s="75">
        <v>33</v>
      </c>
      <c r="J18" s="75"/>
      <c r="K18" s="75"/>
      <c r="L18" s="75"/>
      <c r="M18" s="76">
        <v>193</v>
      </c>
      <c r="N18" s="75"/>
      <c r="O18" s="75"/>
      <c r="P18" s="77"/>
      <c r="Q18" s="125"/>
      <c r="R18" s="126"/>
      <c r="S18" s="126"/>
      <c r="T18" s="127"/>
    </row>
    <row r="19" spans="1:20" x14ac:dyDescent="0.45">
      <c r="A19" s="50">
        <v>1.5</v>
      </c>
      <c r="B19" s="51">
        <v>7</v>
      </c>
      <c r="C19" s="53">
        <v>22</v>
      </c>
      <c r="D19" s="53"/>
      <c r="E19" s="81">
        <v>176</v>
      </c>
      <c r="F19" s="82"/>
      <c r="G19" s="82"/>
      <c r="H19" s="83"/>
      <c r="I19" s="82">
        <v>29</v>
      </c>
      <c r="J19" s="82"/>
      <c r="K19" s="82"/>
      <c r="L19" s="82"/>
      <c r="M19" s="81">
        <v>205</v>
      </c>
      <c r="N19" s="82"/>
      <c r="O19" s="82"/>
      <c r="P19" s="83"/>
      <c r="Q19" s="125"/>
      <c r="R19" s="126"/>
      <c r="S19" s="126"/>
      <c r="T19" s="127"/>
    </row>
    <row r="20" spans="1:20" x14ac:dyDescent="0.45">
      <c r="A20" s="50">
        <v>1.5</v>
      </c>
      <c r="B20" s="52">
        <v>8</v>
      </c>
      <c r="C20" s="74">
        <v>20</v>
      </c>
      <c r="D20" s="74"/>
      <c r="E20" s="76">
        <v>152</v>
      </c>
      <c r="F20" s="75"/>
      <c r="G20" s="75"/>
      <c r="H20" s="77"/>
      <c r="I20" s="75">
        <v>29</v>
      </c>
      <c r="J20" s="75"/>
      <c r="K20" s="75"/>
      <c r="L20" s="75"/>
      <c r="M20" s="76">
        <v>181</v>
      </c>
      <c r="N20" s="75"/>
      <c r="O20" s="75"/>
      <c r="P20" s="77"/>
      <c r="Q20" s="125"/>
      <c r="R20" s="126"/>
      <c r="S20" s="126"/>
      <c r="T20" s="127"/>
    </row>
    <row r="21" spans="1:20" s="137" customFormat="1" x14ac:dyDescent="0.45">
      <c r="A21" s="131">
        <v>1.5</v>
      </c>
      <c r="B21" s="138">
        <v>9</v>
      </c>
      <c r="C21" s="139">
        <v>20</v>
      </c>
      <c r="D21" s="139"/>
      <c r="E21" s="140">
        <v>176</v>
      </c>
      <c r="F21" s="141"/>
      <c r="G21" s="141"/>
      <c r="H21" s="142"/>
      <c r="I21" s="141">
        <v>29</v>
      </c>
      <c r="J21" s="141"/>
      <c r="K21" s="141"/>
      <c r="L21" s="141"/>
      <c r="M21" s="140">
        <v>205</v>
      </c>
      <c r="N21" s="141"/>
      <c r="O21" s="141"/>
      <c r="P21" s="142"/>
      <c r="Q21" s="125"/>
      <c r="R21" s="126"/>
      <c r="S21" s="126"/>
      <c r="T21" s="127"/>
    </row>
    <row r="22" spans="1:20" s="137" customFormat="1" x14ac:dyDescent="0.45">
      <c r="A22" s="131">
        <v>1.5</v>
      </c>
      <c r="B22" s="132">
        <v>10</v>
      </c>
      <c r="C22" s="133">
        <v>22</v>
      </c>
      <c r="D22" s="133"/>
      <c r="E22" s="134">
        <v>176</v>
      </c>
      <c r="F22" s="135"/>
      <c r="G22" s="135"/>
      <c r="H22" s="136"/>
      <c r="I22" s="135">
        <v>29</v>
      </c>
      <c r="J22" s="135"/>
      <c r="K22" s="135"/>
      <c r="L22" s="135"/>
      <c r="M22" s="134">
        <v>205</v>
      </c>
      <c r="N22" s="135"/>
      <c r="O22" s="135"/>
      <c r="P22" s="136"/>
      <c r="Q22" s="125"/>
      <c r="R22" s="126"/>
      <c r="S22" s="126"/>
      <c r="T22" s="127"/>
    </row>
    <row r="23" spans="1:20" s="137" customFormat="1" x14ac:dyDescent="0.45">
      <c r="A23" s="131">
        <v>1.5</v>
      </c>
      <c r="B23" s="132">
        <v>11</v>
      </c>
      <c r="C23" s="133">
        <v>19</v>
      </c>
      <c r="D23" s="133"/>
      <c r="E23" s="134">
        <v>160</v>
      </c>
      <c r="F23" s="135"/>
      <c r="G23" s="135"/>
      <c r="H23" s="136"/>
      <c r="I23" s="135">
        <v>29</v>
      </c>
      <c r="J23" s="135"/>
      <c r="K23" s="135"/>
      <c r="L23" s="135"/>
      <c r="M23" s="134">
        <v>189</v>
      </c>
      <c r="N23" s="135"/>
      <c r="O23" s="135"/>
      <c r="P23" s="136"/>
      <c r="Q23" s="125"/>
      <c r="R23" s="126"/>
      <c r="S23" s="126"/>
      <c r="T23" s="127"/>
    </row>
    <row r="24" spans="1:20" s="137" customFormat="1" ht="18.600000000000001" thickBot="1" x14ac:dyDescent="0.5">
      <c r="A24" s="131">
        <v>1.5</v>
      </c>
      <c r="B24" s="143">
        <v>12</v>
      </c>
      <c r="C24" s="144">
        <v>22</v>
      </c>
      <c r="D24" s="144"/>
      <c r="E24" s="145">
        <v>176</v>
      </c>
      <c r="F24" s="146"/>
      <c r="G24" s="146"/>
      <c r="H24" s="147"/>
      <c r="I24" s="146">
        <v>29</v>
      </c>
      <c r="J24" s="146"/>
      <c r="K24" s="146"/>
      <c r="L24" s="146"/>
      <c r="M24" s="145">
        <v>205</v>
      </c>
      <c r="N24" s="146"/>
      <c r="O24" s="146"/>
      <c r="P24" s="147"/>
      <c r="Q24" s="128"/>
      <c r="R24" s="129"/>
      <c r="S24" s="129"/>
      <c r="T24" s="130"/>
    </row>
    <row r="26" spans="1:20" x14ac:dyDescent="0.45">
      <c r="B26" s="49"/>
    </row>
  </sheetData>
  <sheetProtection algorithmName="SHA-512" hashValue="AqL+YDjcIIBxa8NmAOZarCavO6kcaJ74In74nGZt+HYk/qK4oLhM92FFa20ceaLnQ7PQAyF+vxTOgO8YmB8gAA==" saltValue="juDAQtU0yeNTzT1K7FT/2g==" spinCount="100000" sheet="1" objects="1" scenarios="1" selectLockedCells="1"/>
  <protectedRanges>
    <protectedRange algorithmName="SHA-512" hashValue="A8PRmnuN5IVAvbmXs18CbbDgr/AvDDzJc2wMh2Gzl5JCvTp3ZGcf0i1FNkU3bfBFFIuVHP69W67F5WqWPBHEMg==" saltValue="RGRqlF0BfIp4YHlMBopcYw==" spinCount="100000" sqref="H7:H9" name="範囲1"/>
  </protectedRanges>
  <mergeCells count="72">
    <mergeCell ref="B4:E5"/>
    <mergeCell ref="E24:H24"/>
    <mergeCell ref="I24:L24"/>
    <mergeCell ref="M24:P24"/>
    <mergeCell ref="Q24:T24"/>
    <mergeCell ref="E22:H22"/>
    <mergeCell ref="I22:L22"/>
    <mergeCell ref="M22:P22"/>
    <mergeCell ref="Q22:T22"/>
    <mergeCell ref="E23:H23"/>
    <mergeCell ref="I23:L23"/>
    <mergeCell ref="M23:P23"/>
    <mergeCell ref="Q23:T23"/>
    <mergeCell ref="E20:H20"/>
    <mergeCell ref="I20:L20"/>
    <mergeCell ref="M20:P20"/>
    <mergeCell ref="Q20:T20"/>
    <mergeCell ref="E21:H21"/>
    <mergeCell ref="I21:L21"/>
    <mergeCell ref="M21:P21"/>
    <mergeCell ref="Q21:T21"/>
    <mergeCell ref="E18:H18"/>
    <mergeCell ref="I18:L18"/>
    <mergeCell ref="M18:P18"/>
    <mergeCell ref="Q18:T18"/>
    <mergeCell ref="E19:H19"/>
    <mergeCell ref="I19:L19"/>
    <mergeCell ref="M19:P19"/>
    <mergeCell ref="Q19:T19"/>
    <mergeCell ref="M16:P16"/>
    <mergeCell ref="Q16:T16"/>
    <mergeCell ref="E17:H17"/>
    <mergeCell ref="I17:L17"/>
    <mergeCell ref="M17:P17"/>
    <mergeCell ref="Q17:T17"/>
    <mergeCell ref="Q14:T14"/>
    <mergeCell ref="E15:H15"/>
    <mergeCell ref="I15:L15"/>
    <mergeCell ref="M15:P15"/>
    <mergeCell ref="Q15:T15"/>
    <mergeCell ref="C24:D24"/>
    <mergeCell ref="E12:H12"/>
    <mergeCell ref="I12:L12"/>
    <mergeCell ref="M12:P12"/>
    <mergeCell ref="Q12:T12"/>
    <mergeCell ref="E13:H13"/>
    <mergeCell ref="I13:L13"/>
    <mergeCell ref="M13:P13"/>
    <mergeCell ref="Q13:T13"/>
    <mergeCell ref="E14:H14"/>
    <mergeCell ref="C18:D18"/>
    <mergeCell ref="C19:D19"/>
    <mergeCell ref="C20:D20"/>
    <mergeCell ref="C21:D21"/>
    <mergeCell ref="C22:D22"/>
    <mergeCell ref="C23:D23"/>
    <mergeCell ref="C17:D17"/>
    <mergeCell ref="B2:E3"/>
    <mergeCell ref="H2:M3"/>
    <mergeCell ref="B6:H6"/>
    <mergeCell ref="B7:G7"/>
    <mergeCell ref="B8:G8"/>
    <mergeCell ref="B9:G9"/>
    <mergeCell ref="C12:D12"/>
    <mergeCell ref="C13:D13"/>
    <mergeCell ref="C14:D14"/>
    <mergeCell ref="C15:D15"/>
    <mergeCell ref="C16:D16"/>
    <mergeCell ref="I14:L14"/>
    <mergeCell ref="M14:P14"/>
    <mergeCell ref="E16:H16"/>
    <mergeCell ref="I16:L16"/>
  </mergeCells>
  <phoneticPr fontId="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mmonNumberCheck">
                <anchor moveWithCells="1" sizeWithCells="1">
                  <from>
                    <xdr:col>12</xdr:col>
                    <xdr:colOff>129540</xdr:colOff>
                    <xdr:row>5</xdr:row>
                    <xdr:rowOff>0</xdr:rowOff>
                  </from>
                  <to>
                    <xdr:col>19</xdr:col>
                    <xdr:colOff>266700</xdr:colOff>
                    <xdr:row>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viseCheck">
                <anchor moveWithCells="1" sizeWithCells="1">
                  <from>
                    <xdr:col>12</xdr:col>
                    <xdr:colOff>144780</xdr:colOff>
                    <xdr:row>7</xdr:row>
                    <xdr:rowOff>91440</xdr:rowOff>
                  </from>
                  <to>
                    <xdr:col>19</xdr:col>
                    <xdr:colOff>266700</xdr:colOff>
                    <xdr:row>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unPythonExport">
                <anchor moveWithCells="1" sizeWithCells="1">
                  <from>
                    <xdr:col>12</xdr:col>
                    <xdr:colOff>144780</xdr:colOff>
                    <xdr:row>3</xdr:row>
                    <xdr:rowOff>53340</xdr:rowOff>
                  </from>
                  <to>
                    <xdr:col>19</xdr:col>
                    <xdr:colOff>274320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AADAA-029E-4F06-A0AF-C21C0700DA9D}">
  <sheetPr codeName="Sheet2"/>
  <dimension ref="A1:Q42"/>
  <sheetViews>
    <sheetView workbookViewId="0">
      <selection activeCell="E13" sqref="E13"/>
    </sheetView>
  </sheetViews>
  <sheetFormatPr defaultRowHeight="18" x14ac:dyDescent="0.45"/>
  <cols>
    <col min="1" max="1" width="2.59765625" customWidth="1"/>
    <col min="2" max="2" width="4.5" bestFit="1" customWidth="1"/>
    <col min="3" max="3" width="4.5" customWidth="1"/>
    <col min="4" max="8" width="6.59765625" customWidth="1"/>
    <col min="9" max="10" width="8.59765625" customWidth="1"/>
    <col min="11" max="15" width="6.59765625" customWidth="1"/>
    <col min="16" max="16" width="6.296875" customWidth="1"/>
  </cols>
  <sheetData>
    <row r="1" spans="1:17" ht="18.75" customHeight="1" x14ac:dyDescent="0.45">
      <c r="B1" s="90"/>
      <c r="C1" s="90"/>
      <c r="D1" s="53" t="s">
        <v>0</v>
      </c>
      <c r="E1" s="90"/>
      <c r="F1" s="90" t="s">
        <v>1</v>
      </c>
      <c r="G1" s="90"/>
      <c r="H1" s="1"/>
      <c r="I1" s="1"/>
    </row>
    <row r="2" spans="1:17" ht="19.5" customHeight="1" x14ac:dyDescent="0.45">
      <c r="B2" s="90"/>
      <c r="C2" s="90"/>
      <c r="D2" s="53"/>
      <c r="E2" s="90"/>
      <c r="F2" s="90"/>
      <c r="G2" s="90"/>
      <c r="H2" s="1"/>
      <c r="N2" s="2"/>
      <c r="O2" s="2"/>
    </row>
    <row r="4" spans="1:17" ht="18.600000000000001" thickBot="1" x14ac:dyDescent="0.5">
      <c r="B4" s="91" t="s">
        <v>2</v>
      </c>
      <c r="C4" s="92"/>
      <c r="D4" s="92"/>
      <c r="E4" s="92"/>
      <c r="F4" s="93"/>
      <c r="G4" s="94" t="s">
        <v>3</v>
      </c>
      <c r="H4" s="95"/>
      <c r="I4" s="96"/>
      <c r="J4" s="101" t="s">
        <v>4</v>
      </c>
      <c r="K4" s="102"/>
      <c r="L4" s="103"/>
      <c r="M4" s="104" t="s">
        <v>5</v>
      </c>
      <c r="N4" s="104"/>
      <c r="O4" s="104"/>
    </row>
    <row r="5" spans="1:17" ht="20.100000000000001" customHeight="1" thickTop="1" x14ac:dyDescent="0.45">
      <c r="B5" s="105" t="s">
        <v>6</v>
      </c>
      <c r="C5" s="106"/>
      <c r="D5" s="107"/>
      <c r="E5" s="108"/>
      <c r="F5" s="109"/>
      <c r="G5" s="3" t="s">
        <v>7</v>
      </c>
      <c r="H5" s="110">
        <f>SUM(H11:H41)</f>
        <v>0</v>
      </c>
      <c r="I5" s="111"/>
      <c r="J5" s="3" t="s">
        <v>7</v>
      </c>
      <c r="K5" s="110">
        <f>SUM(O11:O41)</f>
        <v>0</v>
      </c>
      <c r="L5" s="111"/>
      <c r="M5" s="3" t="s">
        <v>8</v>
      </c>
      <c r="N5" s="110">
        <f>SUM(P11:P41)</f>
        <v>0</v>
      </c>
      <c r="O5" s="111"/>
    </row>
    <row r="6" spans="1:17" ht="20.100000000000001" customHeight="1" x14ac:dyDescent="0.45">
      <c r="B6" s="112" t="s">
        <v>9</v>
      </c>
      <c r="C6" s="113"/>
      <c r="D6" s="114"/>
      <c r="E6" s="115"/>
      <c r="F6" s="116"/>
      <c r="G6" s="4" t="s">
        <v>10</v>
      </c>
      <c r="H6" s="117">
        <f>COUNT(H11:H41)</f>
        <v>0</v>
      </c>
      <c r="I6" s="118"/>
      <c r="J6" s="4" t="s">
        <v>10</v>
      </c>
      <c r="K6" s="117">
        <f>COUNT(H11:H41)-COUNTA(Q11:Q41)</f>
        <v>0</v>
      </c>
      <c r="L6" s="118"/>
      <c r="M6" s="4" t="s">
        <v>11</v>
      </c>
      <c r="N6" s="117">
        <f>COUNTIF(P11:P41,"&gt;0")</f>
        <v>0</v>
      </c>
      <c r="O6" s="118"/>
    </row>
    <row r="7" spans="1:17" ht="13.05" customHeight="1" x14ac:dyDescent="0.45"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</row>
    <row r="8" spans="1:17" ht="13.05" customHeight="1" x14ac:dyDescent="0.45"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6">
        <v>1.0416666666666666E-2</v>
      </c>
    </row>
    <row r="9" spans="1:17" ht="20.100000000000001" customHeight="1" x14ac:dyDescent="0.45">
      <c r="B9" s="97" t="s">
        <v>12</v>
      </c>
      <c r="C9" s="97"/>
      <c r="D9" s="98" t="s">
        <v>3</v>
      </c>
      <c r="E9" s="98"/>
      <c r="F9" s="98"/>
      <c r="G9" s="98"/>
      <c r="H9" s="98"/>
      <c r="I9" s="99" t="s">
        <v>13</v>
      </c>
      <c r="J9" s="99"/>
      <c r="K9" s="100" t="s">
        <v>14</v>
      </c>
      <c r="L9" s="100"/>
      <c r="M9" s="100"/>
      <c r="N9" s="100"/>
      <c r="O9" s="100"/>
      <c r="P9" s="100"/>
      <c r="Q9" s="7" t="s">
        <v>15</v>
      </c>
    </row>
    <row r="10" spans="1:17" ht="20.100000000000001" customHeight="1" thickBot="1" x14ac:dyDescent="0.5">
      <c r="B10" s="8" t="s">
        <v>16</v>
      </c>
      <c r="C10" s="8" t="s">
        <v>17</v>
      </c>
      <c r="D10" s="8" t="s">
        <v>18</v>
      </c>
      <c r="E10" s="8" t="s">
        <v>19</v>
      </c>
      <c r="F10" s="9" t="s">
        <v>7</v>
      </c>
      <c r="G10" s="9" t="s">
        <v>20</v>
      </c>
      <c r="H10" s="10" t="s">
        <v>14</v>
      </c>
      <c r="I10" s="11" t="s">
        <v>18</v>
      </c>
      <c r="J10" s="12" t="s">
        <v>19</v>
      </c>
      <c r="K10" s="13" t="s">
        <v>18</v>
      </c>
      <c r="L10" s="9" t="s">
        <v>19</v>
      </c>
      <c r="M10" s="9" t="s">
        <v>7</v>
      </c>
      <c r="N10" s="9" t="s">
        <v>20</v>
      </c>
      <c r="O10" s="9" t="s">
        <v>14</v>
      </c>
      <c r="P10" s="10" t="s">
        <v>8</v>
      </c>
      <c r="Q10" s="8" t="s">
        <v>21</v>
      </c>
    </row>
    <row r="11" spans="1:17" ht="16.05" customHeight="1" thickTop="1" x14ac:dyDescent="0.45">
      <c r="A11" s="41"/>
      <c r="B11" s="14" t="e">
        <f>DATE( $B$1, $E$1, ROW()-10)</f>
        <v>#NUM!</v>
      </c>
      <c r="C11" s="15" t="e">
        <f>TEXT(B11,"aaa")</f>
        <v>#NUM!</v>
      </c>
      <c r="D11" s="16"/>
      <c r="E11" s="45"/>
      <c r="F11" s="17" t="str">
        <f t="shared" ref="F11:F41" si="0">IF(OR(D11="",E11=""),"",E11-D11)</f>
        <v/>
      </c>
      <c r="G11" s="18" t="str">
        <f t="shared" ref="G11:G41" si="1">IF(OR(D11="",E11=""),"",IF(F11*24&gt;=8,"1:00",IF(F11*24&gt;6,"0:45",0)))</f>
        <v/>
      </c>
      <c r="H11" s="19" t="str">
        <f t="shared" ref="H11:H41" si="2">IF(G11="","",(F11-G11)*24)</f>
        <v/>
      </c>
      <c r="I11" s="20"/>
      <c r="J11" s="21"/>
      <c r="K11" s="22" t="str">
        <f t="shared" ref="K11:K41" si="3">IF(I11="","", CEILING(I11,$O$8))</f>
        <v/>
      </c>
      <c r="L11" s="22" t="str">
        <f t="shared" ref="L11:L41" si="4">IF(J11="","", FLOOR(J11,$O$8))</f>
        <v/>
      </c>
      <c r="M11" s="17" t="str">
        <f t="shared" ref="M11:M41" si="5">IF(OR(K11="",L11=""),"",L11-K11)</f>
        <v/>
      </c>
      <c r="N11" s="18" t="str">
        <f t="shared" ref="N11:N41" si="6">IF(OR(K11="",L11=""),"",IF(M11*24&gt;=8,"1:00",IF(M11*24&gt;6,"0:45",0)))</f>
        <v/>
      </c>
      <c r="O11" s="23" t="str">
        <f t="shared" ref="O11:O41" si="7">IF(N11="","",(M11-N11)*24)</f>
        <v/>
      </c>
      <c r="P11" s="24" t="str">
        <f t="shared" ref="P11:P41" si="8">IF(AND(O11="",H11=""),"",IF(O11="",H11*-1,O11-H11))</f>
        <v/>
      </c>
      <c r="Q11" s="25"/>
    </row>
    <row r="12" spans="1:17" ht="16.05" customHeight="1" x14ac:dyDescent="0.45">
      <c r="A12" s="41"/>
      <c r="B12" s="14" t="e">
        <f t="shared" ref="B12:B38" si="9">DATE( $B$1, $E$1, ROW()-10)</f>
        <v>#NUM!</v>
      </c>
      <c r="C12" s="15" t="e">
        <f t="shared" ref="C12:C41" si="10">TEXT(B12,"aaa")</f>
        <v>#NUM!</v>
      </c>
      <c r="D12" s="16"/>
      <c r="E12" s="45"/>
      <c r="F12" s="17" t="str">
        <f t="shared" si="0"/>
        <v/>
      </c>
      <c r="G12" s="18" t="str">
        <f t="shared" si="1"/>
        <v/>
      </c>
      <c r="H12" s="19" t="str">
        <f t="shared" si="2"/>
        <v/>
      </c>
      <c r="I12" s="20"/>
      <c r="J12" s="21"/>
      <c r="K12" s="22" t="str">
        <f t="shared" si="3"/>
        <v/>
      </c>
      <c r="L12" s="22" t="str">
        <f t="shared" si="4"/>
        <v/>
      </c>
      <c r="M12" s="17" t="str">
        <f t="shared" si="5"/>
        <v/>
      </c>
      <c r="N12" s="18" t="str">
        <f t="shared" si="6"/>
        <v/>
      </c>
      <c r="O12" s="23" t="str">
        <f t="shared" si="7"/>
        <v/>
      </c>
      <c r="P12" s="24" t="str">
        <f t="shared" si="8"/>
        <v/>
      </c>
      <c r="Q12" s="7"/>
    </row>
    <row r="13" spans="1:17" ht="16.05" customHeight="1" x14ac:dyDescent="0.45">
      <c r="A13" s="41"/>
      <c r="B13" s="14" t="e">
        <f t="shared" si="9"/>
        <v>#NUM!</v>
      </c>
      <c r="C13" s="15" t="e">
        <f t="shared" si="10"/>
        <v>#NUM!</v>
      </c>
      <c r="D13" s="16"/>
      <c r="E13" s="45"/>
      <c r="F13" s="17" t="str">
        <f t="shared" si="0"/>
        <v/>
      </c>
      <c r="G13" s="18" t="str">
        <f t="shared" si="1"/>
        <v/>
      </c>
      <c r="H13" s="19" t="str">
        <f t="shared" si="2"/>
        <v/>
      </c>
      <c r="I13" s="20"/>
      <c r="J13" s="21"/>
      <c r="K13" s="22" t="str">
        <f t="shared" si="3"/>
        <v/>
      </c>
      <c r="L13" s="22" t="str">
        <f t="shared" si="4"/>
        <v/>
      </c>
      <c r="M13" s="17" t="str">
        <f t="shared" si="5"/>
        <v/>
      </c>
      <c r="N13" s="18" t="str">
        <f t="shared" si="6"/>
        <v/>
      </c>
      <c r="O13" s="23" t="str">
        <f t="shared" si="7"/>
        <v/>
      </c>
      <c r="P13" s="24" t="str">
        <f t="shared" si="8"/>
        <v/>
      </c>
      <c r="Q13" s="7"/>
    </row>
    <row r="14" spans="1:17" ht="16.05" customHeight="1" x14ac:dyDescent="0.45">
      <c r="A14" s="41"/>
      <c r="B14" s="14" t="e">
        <f t="shared" si="9"/>
        <v>#NUM!</v>
      </c>
      <c r="C14" s="15" t="e">
        <f t="shared" si="10"/>
        <v>#NUM!</v>
      </c>
      <c r="D14" s="16"/>
      <c r="E14" s="45"/>
      <c r="F14" s="17" t="str">
        <f t="shared" si="0"/>
        <v/>
      </c>
      <c r="G14" s="18" t="str">
        <f t="shared" si="1"/>
        <v/>
      </c>
      <c r="H14" s="19" t="str">
        <f t="shared" si="2"/>
        <v/>
      </c>
      <c r="I14" s="20"/>
      <c r="J14" s="21"/>
      <c r="K14" s="22" t="str">
        <f t="shared" si="3"/>
        <v/>
      </c>
      <c r="L14" s="22" t="str">
        <f t="shared" si="4"/>
        <v/>
      </c>
      <c r="M14" s="17" t="str">
        <f t="shared" si="5"/>
        <v/>
      </c>
      <c r="N14" s="18" t="str">
        <f t="shared" si="6"/>
        <v/>
      </c>
      <c r="O14" s="23" t="str">
        <f t="shared" si="7"/>
        <v/>
      </c>
      <c r="P14" s="24" t="str">
        <f t="shared" si="8"/>
        <v/>
      </c>
      <c r="Q14" s="7"/>
    </row>
    <row r="15" spans="1:17" ht="16.05" customHeight="1" x14ac:dyDescent="0.45">
      <c r="A15" s="41"/>
      <c r="B15" s="14" t="e">
        <f t="shared" si="9"/>
        <v>#NUM!</v>
      </c>
      <c r="C15" s="15" t="e">
        <f t="shared" si="10"/>
        <v>#NUM!</v>
      </c>
      <c r="D15" s="16"/>
      <c r="E15" s="45"/>
      <c r="F15" s="17" t="str">
        <f t="shared" si="0"/>
        <v/>
      </c>
      <c r="G15" s="18" t="str">
        <f t="shared" si="1"/>
        <v/>
      </c>
      <c r="H15" s="19" t="str">
        <f t="shared" si="2"/>
        <v/>
      </c>
      <c r="I15" s="20"/>
      <c r="J15" s="21"/>
      <c r="K15" s="22" t="str">
        <f t="shared" si="3"/>
        <v/>
      </c>
      <c r="L15" s="22" t="str">
        <f t="shared" si="4"/>
        <v/>
      </c>
      <c r="M15" s="17" t="str">
        <f t="shared" si="5"/>
        <v/>
      </c>
      <c r="N15" s="18" t="str">
        <f t="shared" si="6"/>
        <v/>
      </c>
      <c r="O15" s="23" t="str">
        <f t="shared" si="7"/>
        <v/>
      </c>
      <c r="P15" s="24" t="str">
        <f t="shared" si="8"/>
        <v/>
      </c>
      <c r="Q15" s="7"/>
    </row>
    <row r="16" spans="1:17" ht="16.05" customHeight="1" x14ac:dyDescent="0.45">
      <c r="A16" s="41"/>
      <c r="B16" s="14" t="e">
        <f t="shared" si="9"/>
        <v>#NUM!</v>
      </c>
      <c r="C16" s="15" t="e">
        <f t="shared" si="10"/>
        <v>#NUM!</v>
      </c>
      <c r="D16" s="16"/>
      <c r="E16" s="45"/>
      <c r="F16" s="17" t="str">
        <f t="shared" si="0"/>
        <v/>
      </c>
      <c r="G16" s="18" t="str">
        <f t="shared" si="1"/>
        <v/>
      </c>
      <c r="H16" s="19" t="str">
        <f t="shared" si="2"/>
        <v/>
      </c>
      <c r="I16" s="20"/>
      <c r="J16" s="21"/>
      <c r="K16" s="22" t="str">
        <f t="shared" si="3"/>
        <v/>
      </c>
      <c r="L16" s="22" t="str">
        <f t="shared" si="4"/>
        <v/>
      </c>
      <c r="M16" s="17" t="str">
        <f t="shared" si="5"/>
        <v/>
      </c>
      <c r="N16" s="18" t="str">
        <f t="shared" si="6"/>
        <v/>
      </c>
      <c r="O16" s="23" t="str">
        <f t="shared" si="7"/>
        <v/>
      </c>
      <c r="P16" s="24" t="str">
        <f t="shared" si="8"/>
        <v/>
      </c>
      <c r="Q16" s="7"/>
    </row>
    <row r="17" spans="1:17" ht="16.05" customHeight="1" x14ac:dyDescent="0.45">
      <c r="A17" s="41"/>
      <c r="B17" s="14" t="e">
        <f t="shared" si="9"/>
        <v>#NUM!</v>
      </c>
      <c r="C17" s="15" t="e">
        <f t="shared" si="10"/>
        <v>#NUM!</v>
      </c>
      <c r="D17" s="16"/>
      <c r="E17" s="45"/>
      <c r="F17" s="17" t="str">
        <f t="shared" si="0"/>
        <v/>
      </c>
      <c r="G17" s="18" t="str">
        <f t="shared" si="1"/>
        <v/>
      </c>
      <c r="H17" s="19" t="str">
        <f t="shared" si="2"/>
        <v/>
      </c>
      <c r="I17" s="20"/>
      <c r="J17" s="21"/>
      <c r="K17" s="22" t="str">
        <f t="shared" si="3"/>
        <v/>
      </c>
      <c r="L17" s="22" t="str">
        <f t="shared" si="4"/>
        <v/>
      </c>
      <c r="M17" s="17" t="str">
        <f t="shared" si="5"/>
        <v/>
      </c>
      <c r="N17" s="18" t="str">
        <f t="shared" si="6"/>
        <v/>
      </c>
      <c r="O17" s="23" t="str">
        <f t="shared" si="7"/>
        <v/>
      </c>
      <c r="P17" s="24" t="str">
        <f t="shared" si="8"/>
        <v/>
      </c>
      <c r="Q17" s="7"/>
    </row>
    <row r="18" spans="1:17" ht="16.05" customHeight="1" x14ac:dyDescent="0.45">
      <c r="A18" s="41"/>
      <c r="B18" s="14" t="e">
        <f t="shared" si="9"/>
        <v>#NUM!</v>
      </c>
      <c r="C18" s="15" t="e">
        <f t="shared" si="10"/>
        <v>#NUM!</v>
      </c>
      <c r="D18" s="16"/>
      <c r="E18" s="45"/>
      <c r="F18" s="17" t="str">
        <f t="shared" si="0"/>
        <v/>
      </c>
      <c r="G18" s="18" t="str">
        <f t="shared" si="1"/>
        <v/>
      </c>
      <c r="H18" s="19" t="str">
        <f t="shared" si="2"/>
        <v/>
      </c>
      <c r="I18" s="20"/>
      <c r="J18" s="21"/>
      <c r="K18" s="22" t="str">
        <f t="shared" si="3"/>
        <v/>
      </c>
      <c r="L18" s="22" t="str">
        <f t="shared" si="4"/>
        <v/>
      </c>
      <c r="M18" s="17" t="str">
        <f t="shared" si="5"/>
        <v/>
      </c>
      <c r="N18" s="18" t="str">
        <f t="shared" si="6"/>
        <v/>
      </c>
      <c r="O18" s="23" t="str">
        <f t="shared" si="7"/>
        <v/>
      </c>
      <c r="P18" s="24" t="str">
        <f t="shared" si="8"/>
        <v/>
      </c>
      <c r="Q18" s="7"/>
    </row>
    <row r="19" spans="1:17" ht="16.05" customHeight="1" x14ac:dyDescent="0.45">
      <c r="A19" s="41"/>
      <c r="B19" s="14" t="e">
        <f t="shared" si="9"/>
        <v>#NUM!</v>
      </c>
      <c r="C19" s="15" t="e">
        <f t="shared" si="10"/>
        <v>#NUM!</v>
      </c>
      <c r="D19" s="16"/>
      <c r="E19" s="45"/>
      <c r="F19" s="17" t="str">
        <f t="shared" si="0"/>
        <v/>
      </c>
      <c r="G19" s="18" t="str">
        <f t="shared" si="1"/>
        <v/>
      </c>
      <c r="H19" s="19" t="str">
        <f t="shared" si="2"/>
        <v/>
      </c>
      <c r="I19" s="20"/>
      <c r="J19" s="21"/>
      <c r="K19" s="22" t="str">
        <f t="shared" si="3"/>
        <v/>
      </c>
      <c r="L19" s="22" t="str">
        <f t="shared" si="4"/>
        <v/>
      </c>
      <c r="M19" s="17" t="str">
        <f t="shared" si="5"/>
        <v/>
      </c>
      <c r="N19" s="18" t="str">
        <f t="shared" si="6"/>
        <v/>
      </c>
      <c r="O19" s="23" t="str">
        <f t="shared" si="7"/>
        <v/>
      </c>
      <c r="P19" s="24" t="str">
        <f t="shared" si="8"/>
        <v/>
      </c>
      <c r="Q19" s="7"/>
    </row>
    <row r="20" spans="1:17" ht="16.05" customHeight="1" x14ac:dyDescent="0.45">
      <c r="A20" s="41"/>
      <c r="B20" s="14" t="e">
        <f t="shared" si="9"/>
        <v>#NUM!</v>
      </c>
      <c r="C20" s="15" t="e">
        <f t="shared" si="10"/>
        <v>#NUM!</v>
      </c>
      <c r="D20" s="16"/>
      <c r="E20" s="45"/>
      <c r="F20" s="17" t="str">
        <f t="shared" si="0"/>
        <v/>
      </c>
      <c r="G20" s="18" t="str">
        <f t="shared" si="1"/>
        <v/>
      </c>
      <c r="H20" s="19" t="str">
        <f t="shared" si="2"/>
        <v/>
      </c>
      <c r="I20" s="20"/>
      <c r="J20" s="21"/>
      <c r="K20" s="22" t="str">
        <f t="shared" si="3"/>
        <v/>
      </c>
      <c r="L20" s="22" t="str">
        <f t="shared" si="4"/>
        <v/>
      </c>
      <c r="M20" s="17" t="str">
        <f t="shared" si="5"/>
        <v/>
      </c>
      <c r="N20" s="18" t="str">
        <f t="shared" si="6"/>
        <v/>
      </c>
      <c r="O20" s="23" t="str">
        <f t="shared" si="7"/>
        <v/>
      </c>
      <c r="P20" s="24" t="str">
        <f t="shared" si="8"/>
        <v/>
      </c>
      <c r="Q20" s="7"/>
    </row>
    <row r="21" spans="1:17" ht="16.05" customHeight="1" x14ac:dyDescent="0.45">
      <c r="A21" s="41"/>
      <c r="B21" s="14" t="e">
        <f t="shared" si="9"/>
        <v>#NUM!</v>
      </c>
      <c r="C21" s="15" t="e">
        <f t="shared" si="10"/>
        <v>#NUM!</v>
      </c>
      <c r="D21" s="16"/>
      <c r="E21" s="45"/>
      <c r="F21" s="17" t="str">
        <f t="shared" si="0"/>
        <v/>
      </c>
      <c r="G21" s="18" t="str">
        <f t="shared" si="1"/>
        <v/>
      </c>
      <c r="H21" s="26" t="str">
        <f t="shared" si="2"/>
        <v/>
      </c>
      <c r="I21" s="27"/>
      <c r="J21" s="21"/>
      <c r="K21" s="22" t="str">
        <f t="shared" si="3"/>
        <v/>
      </c>
      <c r="L21" s="22" t="str">
        <f t="shared" si="4"/>
        <v/>
      </c>
      <c r="M21" s="17" t="str">
        <f t="shared" si="5"/>
        <v/>
      </c>
      <c r="N21" s="18" t="str">
        <f t="shared" si="6"/>
        <v/>
      </c>
      <c r="O21" s="23" t="str">
        <f t="shared" si="7"/>
        <v/>
      </c>
      <c r="P21" s="24" t="str">
        <f t="shared" si="8"/>
        <v/>
      </c>
      <c r="Q21" s="7"/>
    </row>
    <row r="22" spans="1:17" ht="16.05" customHeight="1" x14ac:dyDescent="0.45">
      <c r="A22" s="41"/>
      <c r="B22" s="14" t="e">
        <f t="shared" si="9"/>
        <v>#NUM!</v>
      </c>
      <c r="C22" s="15" t="e">
        <f t="shared" si="10"/>
        <v>#NUM!</v>
      </c>
      <c r="D22" s="16"/>
      <c r="E22" s="45"/>
      <c r="F22" s="17" t="str">
        <f t="shared" si="0"/>
        <v/>
      </c>
      <c r="G22" s="18" t="str">
        <f t="shared" si="1"/>
        <v/>
      </c>
      <c r="H22" s="19" t="str">
        <f t="shared" si="2"/>
        <v/>
      </c>
      <c r="I22" s="20"/>
      <c r="J22" s="21"/>
      <c r="K22" s="22" t="str">
        <f t="shared" si="3"/>
        <v/>
      </c>
      <c r="L22" s="22" t="str">
        <f t="shared" si="4"/>
        <v/>
      </c>
      <c r="M22" s="17" t="str">
        <f t="shared" si="5"/>
        <v/>
      </c>
      <c r="N22" s="18" t="str">
        <f t="shared" si="6"/>
        <v/>
      </c>
      <c r="O22" s="23" t="str">
        <f t="shared" si="7"/>
        <v/>
      </c>
      <c r="P22" s="24" t="str">
        <f t="shared" si="8"/>
        <v/>
      </c>
      <c r="Q22" s="7"/>
    </row>
    <row r="23" spans="1:17" ht="16.05" customHeight="1" x14ac:dyDescent="0.45">
      <c r="A23" s="41"/>
      <c r="B23" s="14" t="e">
        <f t="shared" si="9"/>
        <v>#NUM!</v>
      </c>
      <c r="C23" s="15" t="e">
        <f t="shared" si="10"/>
        <v>#NUM!</v>
      </c>
      <c r="D23" s="16"/>
      <c r="E23" s="45"/>
      <c r="F23" s="17" t="str">
        <f t="shared" si="0"/>
        <v/>
      </c>
      <c r="G23" s="18" t="str">
        <f t="shared" si="1"/>
        <v/>
      </c>
      <c r="H23" s="19" t="str">
        <f t="shared" si="2"/>
        <v/>
      </c>
      <c r="I23" s="20"/>
      <c r="J23" s="21"/>
      <c r="K23" s="22" t="str">
        <f t="shared" si="3"/>
        <v/>
      </c>
      <c r="L23" s="22" t="str">
        <f t="shared" si="4"/>
        <v/>
      </c>
      <c r="M23" s="17" t="str">
        <f t="shared" si="5"/>
        <v/>
      </c>
      <c r="N23" s="18" t="str">
        <f t="shared" si="6"/>
        <v/>
      </c>
      <c r="O23" s="23" t="str">
        <f t="shared" si="7"/>
        <v/>
      </c>
      <c r="P23" s="24" t="str">
        <f t="shared" si="8"/>
        <v/>
      </c>
      <c r="Q23" s="7"/>
    </row>
    <row r="24" spans="1:17" ht="16.05" customHeight="1" x14ac:dyDescent="0.45">
      <c r="A24" s="41"/>
      <c r="B24" s="14" t="e">
        <f t="shared" si="9"/>
        <v>#NUM!</v>
      </c>
      <c r="C24" s="15" t="e">
        <f t="shared" si="10"/>
        <v>#NUM!</v>
      </c>
      <c r="D24" s="16"/>
      <c r="E24" s="45"/>
      <c r="F24" s="17" t="str">
        <f t="shared" si="0"/>
        <v/>
      </c>
      <c r="G24" s="18" t="str">
        <f t="shared" si="1"/>
        <v/>
      </c>
      <c r="H24" s="19" t="str">
        <f t="shared" si="2"/>
        <v/>
      </c>
      <c r="I24" s="20"/>
      <c r="J24" s="21"/>
      <c r="K24" s="22" t="str">
        <f t="shared" si="3"/>
        <v/>
      </c>
      <c r="L24" s="22" t="str">
        <f t="shared" si="4"/>
        <v/>
      </c>
      <c r="M24" s="17" t="str">
        <f t="shared" si="5"/>
        <v/>
      </c>
      <c r="N24" s="18" t="str">
        <f t="shared" si="6"/>
        <v/>
      </c>
      <c r="O24" s="23" t="str">
        <f t="shared" si="7"/>
        <v/>
      </c>
      <c r="P24" s="24" t="str">
        <f t="shared" si="8"/>
        <v/>
      </c>
      <c r="Q24" s="7"/>
    </row>
    <row r="25" spans="1:17" ht="16.05" customHeight="1" x14ac:dyDescent="0.45">
      <c r="A25" s="41"/>
      <c r="B25" s="14" t="e">
        <f t="shared" si="9"/>
        <v>#NUM!</v>
      </c>
      <c r="C25" s="15" t="e">
        <f t="shared" si="10"/>
        <v>#NUM!</v>
      </c>
      <c r="D25" s="16"/>
      <c r="E25" s="45"/>
      <c r="F25" s="17" t="str">
        <f t="shared" si="0"/>
        <v/>
      </c>
      <c r="G25" s="18" t="str">
        <f t="shared" si="1"/>
        <v/>
      </c>
      <c r="H25" s="19" t="str">
        <f t="shared" si="2"/>
        <v/>
      </c>
      <c r="I25" s="20"/>
      <c r="J25" s="21"/>
      <c r="K25" s="22" t="str">
        <f t="shared" si="3"/>
        <v/>
      </c>
      <c r="L25" s="22" t="str">
        <f t="shared" si="4"/>
        <v/>
      </c>
      <c r="M25" s="17" t="str">
        <f t="shared" si="5"/>
        <v/>
      </c>
      <c r="N25" s="18" t="str">
        <f t="shared" si="6"/>
        <v/>
      </c>
      <c r="O25" s="23" t="str">
        <f t="shared" si="7"/>
        <v/>
      </c>
      <c r="P25" s="24" t="str">
        <f t="shared" si="8"/>
        <v/>
      </c>
      <c r="Q25" s="7"/>
    </row>
    <row r="26" spans="1:17" ht="16.05" customHeight="1" x14ac:dyDescent="0.45">
      <c r="A26" s="41"/>
      <c r="B26" s="14" t="e">
        <f t="shared" si="9"/>
        <v>#NUM!</v>
      </c>
      <c r="C26" s="15" t="e">
        <f t="shared" si="10"/>
        <v>#NUM!</v>
      </c>
      <c r="D26" s="16"/>
      <c r="E26" s="45"/>
      <c r="F26" s="17" t="str">
        <f t="shared" si="0"/>
        <v/>
      </c>
      <c r="G26" s="18" t="str">
        <f t="shared" si="1"/>
        <v/>
      </c>
      <c r="H26" s="19" t="str">
        <f t="shared" si="2"/>
        <v/>
      </c>
      <c r="I26" s="20"/>
      <c r="J26" s="21"/>
      <c r="K26" s="22" t="str">
        <f t="shared" si="3"/>
        <v/>
      </c>
      <c r="L26" s="22" t="str">
        <f t="shared" si="4"/>
        <v/>
      </c>
      <c r="M26" s="17" t="str">
        <f t="shared" si="5"/>
        <v/>
      </c>
      <c r="N26" s="18" t="str">
        <f t="shared" si="6"/>
        <v/>
      </c>
      <c r="O26" s="23" t="str">
        <f t="shared" si="7"/>
        <v/>
      </c>
      <c r="P26" s="24" t="str">
        <f t="shared" si="8"/>
        <v/>
      </c>
      <c r="Q26" s="7"/>
    </row>
    <row r="27" spans="1:17" ht="16.05" customHeight="1" x14ac:dyDescent="0.45">
      <c r="A27" s="41"/>
      <c r="B27" s="14" t="e">
        <f t="shared" si="9"/>
        <v>#NUM!</v>
      </c>
      <c r="C27" s="15" t="e">
        <f t="shared" si="10"/>
        <v>#NUM!</v>
      </c>
      <c r="D27" s="16"/>
      <c r="E27" s="45"/>
      <c r="F27" s="17" t="str">
        <f t="shared" si="0"/>
        <v/>
      </c>
      <c r="G27" s="18" t="str">
        <f t="shared" si="1"/>
        <v/>
      </c>
      <c r="H27" s="19" t="str">
        <f t="shared" si="2"/>
        <v/>
      </c>
      <c r="I27" s="20"/>
      <c r="J27" s="21"/>
      <c r="K27" s="22" t="str">
        <f t="shared" si="3"/>
        <v/>
      </c>
      <c r="L27" s="22" t="str">
        <f t="shared" si="4"/>
        <v/>
      </c>
      <c r="M27" s="17" t="str">
        <f t="shared" si="5"/>
        <v/>
      </c>
      <c r="N27" s="18" t="str">
        <f t="shared" si="6"/>
        <v/>
      </c>
      <c r="O27" s="23" t="str">
        <f t="shared" si="7"/>
        <v/>
      </c>
      <c r="P27" s="24" t="str">
        <f t="shared" si="8"/>
        <v/>
      </c>
      <c r="Q27" s="7"/>
    </row>
    <row r="28" spans="1:17" ht="16.05" customHeight="1" x14ac:dyDescent="0.45">
      <c r="A28" s="41"/>
      <c r="B28" s="14" t="e">
        <f t="shared" si="9"/>
        <v>#NUM!</v>
      </c>
      <c r="C28" s="15" t="e">
        <f t="shared" si="10"/>
        <v>#NUM!</v>
      </c>
      <c r="D28" s="16"/>
      <c r="E28" s="45"/>
      <c r="F28" s="17" t="str">
        <f t="shared" si="0"/>
        <v/>
      </c>
      <c r="G28" s="18" t="str">
        <f t="shared" si="1"/>
        <v/>
      </c>
      <c r="H28" s="19" t="str">
        <f t="shared" si="2"/>
        <v/>
      </c>
      <c r="I28" s="20"/>
      <c r="J28" s="21"/>
      <c r="K28" s="22" t="str">
        <f t="shared" si="3"/>
        <v/>
      </c>
      <c r="L28" s="22" t="str">
        <f t="shared" si="4"/>
        <v/>
      </c>
      <c r="M28" s="17" t="str">
        <f t="shared" si="5"/>
        <v/>
      </c>
      <c r="N28" s="18" t="str">
        <f t="shared" si="6"/>
        <v/>
      </c>
      <c r="O28" s="23" t="str">
        <f t="shared" si="7"/>
        <v/>
      </c>
      <c r="P28" s="24" t="str">
        <f t="shared" si="8"/>
        <v/>
      </c>
      <c r="Q28" s="7"/>
    </row>
    <row r="29" spans="1:17" ht="16.05" customHeight="1" x14ac:dyDescent="0.45">
      <c r="A29" s="41"/>
      <c r="B29" s="14" t="e">
        <f t="shared" si="9"/>
        <v>#NUM!</v>
      </c>
      <c r="C29" s="15" t="e">
        <f t="shared" si="10"/>
        <v>#NUM!</v>
      </c>
      <c r="D29" s="16"/>
      <c r="E29" s="45"/>
      <c r="F29" s="17" t="str">
        <f t="shared" si="0"/>
        <v/>
      </c>
      <c r="G29" s="18" t="str">
        <f t="shared" si="1"/>
        <v/>
      </c>
      <c r="H29" s="19" t="str">
        <f t="shared" si="2"/>
        <v/>
      </c>
      <c r="I29" s="20"/>
      <c r="J29" s="21"/>
      <c r="K29" s="22" t="str">
        <f t="shared" si="3"/>
        <v/>
      </c>
      <c r="L29" s="22" t="str">
        <f t="shared" si="4"/>
        <v/>
      </c>
      <c r="M29" s="17" t="str">
        <f t="shared" si="5"/>
        <v/>
      </c>
      <c r="N29" s="18" t="str">
        <f t="shared" si="6"/>
        <v/>
      </c>
      <c r="O29" s="23" t="str">
        <f t="shared" si="7"/>
        <v/>
      </c>
      <c r="P29" s="24" t="str">
        <f t="shared" si="8"/>
        <v/>
      </c>
      <c r="Q29" s="7"/>
    </row>
    <row r="30" spans="1:17" ht="16.05" customHeight="1" x14ac:dyDescent="0.45">
      <c r="A30" s="41"/>
      <c r="B30" s="14" t="e">
        <f t="shared" si="9"/>
        <v>#NUM!</v>
      </c>
      <c r="C30" s="15" t="e">
        <f t="shared" si="10"/>
        <v>#NUM!</v>
      </c>
      <c r="D30" s="16"/>
      <c r="E30" s="45"/>
      <c r="F30" s="17" t="str">
        <f t="shared" si="0"/>
        <v/>
      </c>
      <c r="G30" s="18" t="str">
        <f t="shared" si="1"/>
        <v/>
      </c>
      <c r="H30" s="19" t="str">
        <f t="shared" si="2"/>
        <v/>
      </c>
      <c r="I30" s="20"/>
      <c r="J30" s="21"/>
      <c r="K30" s="22" t="str">
        <f t="shared" si="3"/>
        <v/>
      </c>
      <c r="L30" s="22" t="str">
        <f t="shared" si="4"/>
        <v/>
      </c>
      <c r="M30" s="17" t="str">
        <f t="shared" si="5"/>
        <v/>
      </c>
      <c r="N30" s="18" t="str">
        <f t="shared" si="6"/>
        <v/>
      </c>
      <c r="O30" s="23" t="str">
        <f t="shared" si="7"/>
        <v/>
      </c>
      <c r="P30" s="24" t="str">
        <f t="shared" si="8"/>
        <v/>
      </c>
      <c r="Q30" s="7"/>
    </row>
    <row r="31" spans="1:17" ht="16.05" customHeight="1" x14ac:dyDescent="0.45">
      <c r="A31" s="41"/>
      <c r="B31" s="14" t="e">
        <f t="shared" si="9"/>
        <v>#NUM!</v>
      </c>
      <c r="C31" s="15" t="e">
        <f t="shared" si="10"/>
        <v>#NUM!</v>
      </c>
      <c r="D31" s="16"/>
      <c r="E31" s="45"/>
      <c r="F31" s="17" t="str">
        <f t="shared" si="0"/>
        <v/>
      </c>
      <c r="G31" s="18" t="str">
        <f t="shared" si="1"/>
        <v/>
      </c>
      <c r="H31" s="19" t="str">
        <f t="shared" si="2"/>
        <v/>
      </c>
      <c r="I31" s="20"/>
      <c r="J31" s="21"/>
      <c r="K31" s="22" t="str">
        <f t="shared" si="3"/>
        <v/>
      </c>
      <c r="L31" s="22" t="str">
        <f t="shared" si="4"/>
        <v/>
      </c>
      <c r="M31" s="17" t="str">
        <f t="shared" si="5"/>
        <v/>
      </c>
      <c r="N31" s="18" t="str">
        <f t="shared" si="6"/>
        <v/>
      </c>
      <c r="O31" s="23" t="str">
        <f t="shared" si="7"/>
        <v/>
      </c>
      <c r="P31" s="24" t="str">
        <f t="shared" si="8"/>
        <v/>
      </c>
      <c r="Q31" s="7"/>
    </row>
    <row r="32" spans="1:17" ht="16.05" customHeight="1" x14ac:dyDescent="0.45">
      <c r="A32" s="41"/>
      <c r="B32" s="14" t="e">
        <f t="shared" si="9"/>
        <v>#NUM!</v>
      </c>
      <c r="C32" s="15" t="e">
        <f t="shared" si="10"/>
        <v>#NUM!</v>
      </c>
      <c r="D32" s="16"/>
      <c r="E32" s="45"/>
      <c r="F32" s="17" t="str">
        <f t="shared" si="0"/>
        <v/>
      </c>
      <c r="G32" s="18" t="str">
        <f t="shared" si="1"/>
        <v/>
      </c>
      <c r="H32" s="19" t="str">
        <f t="shared" si="2"/>
        <v/>
      </c>
      <c r="I32" s="28"/>
      <c r="J32" s="29"/>
      <c r="K32" s="22" t="str">
        <f t="shared" si="3"/>
        <v/>
      </c>
      <c r="L32" s="22" t="str">
        <f t="shared" si="4"/>
        <v/>
      </c>
      <c r="M32" s="17" t="str">
        <f t="shared" si="5"/>
        <v/>
      </c>
      <c r="N32" s="18" t="str">
        <f t="shared" si="6"/>
        <v/>
      </c>
      <c r="O32" s="23" t="str">
        <f t="shared" si="7"/>
        <v/>
      </c>
      <c r="P32" s="24" t="str">
        <f t="shared" si="8"/>
        <v/>
      </c>
      <c r="Q32" s="7"/>
    </row>
    <row r="33" spans="1:17" ht="16.05" customHeight="1" x14ac:dyDescent="0.45">
      <c r="A33" s="41"/>
      <c r="B33" s="14" t="e">
        <f t="shared" si="9"/>
        <v>#NUM!</v>
      </c>
      <c r="C33" s="15" t="e">
        <f t="shared" si="10"/>
        <v>#NUM!</v>
      </c>
      <c r="D33" s="16"/>
      <c r="E33" s="45"/>
      <c r="F33" s="17" t="str">
        <f t="shared" si="0"/>
        <v/>
      </c>
      <c r="G33" s="18" t="str">
        <f t="shared" si="1"/>
        <v/>
      </c>
      <c r="H33" s="19" t="str">
        <f t="shared" si="2"/>
        <v/>
      </c>
      <c r="I33" s="20"/>
      <c r="J33" s="21"/>
      <c r="K33" s="22" t="str">
        <f t="shared" si="3"/>
        <v/>
      </c>
      <c r="L33" s="22" t="str">
        <f t="shared" si="4"/>
        <v/>
      </c>
      <c r="M33" s="17" t="str">
        <f t="shared" si="5"/>
        <v/>
      </c>
      <c r="N33" s="18" t="str">
        <f t="shared" si="6"/>
        <v/>
      </c>
      <c r="O33" s="23" t="str">
        <f t="shared" si="7"/>
        <v/>
      </c>
      <c r="P33" s="24" t="str">
        <f t="shared" si="8"/>
        <v/>
      </c>
      <c r="Q33" s="7"/>
    </row>
    <row r="34" spans="1:17" ht="16.05" customHeight="1" x14ac:dyDescent="0.45">
      <c r="A34" s="41"/>
      <c r="B34" s="14" t="e">
        <f t="shared" si="9"/>
        <v>#NUM!</v>
      </c>
      <c r="C34" s="15" t="e">
        <f t="shared" si="10"/>
        <v>#NUM!</v>
      </c>
      <c r="D34" s="16"/>
      <c r="E34" s="45"/>
      <c r="F34" s="17" t="str">
        <f t="shared" si="0"/>
        <v/>
      </c>
      <c r="G34" s="18" t="str">
        <f t="shared" si="1"/>
        <v/>
      </c>
      <c r="H34" s="19" t="str">
        <f t="shared" si="2"/>
        <v/>
      </c>
      <c r="I34" s="20"/>
      <c r="J34" s="21"/>
      <c r="K34" s="22" t="str">
        <f t="shared" si="3"/>
        <v/>
      </c>
      <c r="L34" s="22" t="str">
        <f t="shared" si="4"/>
        <v/>
      </c>
      <c r="M34" s="17" t="str">
        <f t="shared" si="5"/>
        <v/>
      </c>
      <c r="N34" s="18" t="str">
        <f t="shared" si="6"/>
        <v/>
      </c>
      <c r="O34" s="23" t="str">
        <f t="shared" si="7"/>
        <v/>
      </c>
      <c r="P34" s="24" t="str">
        <f t="shared" si="8"/>
        <v/>
      </c>
      <c r="Q34" s="7"/>
    </row>
    <row r="35" spans="1:17" ht="16.05" customHeight="1" x14ac:dyDescent="0.45">
      <c r="A35" s="41"/>
      <c r="B35" s="14" t="e">
        <f t="shared" si="9"/>
        <v>#NUM!</v>
      </c>
      <c r="C35" s="15" t="e">
        <f t="shared" si="10"/>
        <v>#NUM!</v>
      </c>
      <c r="D35" s="16"/>
      <c r="E35" s="45"/>
      <c r="F35" s="17" t="str">
        <f t="shared" si="0"/>
        <v/>
      </c>
      <c r="G35" s="18" t="str">
        <f t="shared" si="1"/>
        <v/>
      </c>
      <c r="H35" s="19" t="str">
        <f t="shared" si="2"/>
        <v/>
      </c>
      <c r="I35" s="20"/>
      <c r="J35" s="21"/>
      <c r="K35" s="22" t="str">
        <f t="shared" si="3"/>
        <v/>
      </c>
      <c r="L35" s="22" t="str">
        <f t="shared" si="4"/>
        <v/>
      </c>
      <c r="M35" s="17" t="str">
        <f t="shared" si="5"/>
        <v/>
      </c>
      <c r="N35" s="18" t="str">
        <f t="shared" si="6"/>
        <v/>
      </c>
      <c r="O35" s="23" t="str">
        <f t="shared" si="7"/>
        <v/>
      </c>
      <c r="P35" s="24" t="str">
        <f t="shared" si="8"/>
        <v/>
      </c>
      <c r="Q35" s="7"/>
    </row>
    <row r="36" spans="1:17" ht="16.05" customHeight="1" x14ac:dyDescent="0.45">
      <c r="A36" s="41"/>
      <c r="B36" s="14" t="e">
        <f t="shared" si="9"/>
        <v>#NUM!</v>
      </c>
      <c r="C36" s="15" t="e">
        <f t="shared" si="10"/>
        <v>#NUM!</v>
      </c>
      <c r="D36" s="16"/>
      <c r="E36" s="45"/>
      <c r="F36" s="17" t="str">
        <f t="shared" si="0"/>
        <v/>
      </c>
      <c r="G36" s="18" t="str">
        <f t="shared" si="1"/>
        <v/>
      </c>
      <c r="H36" s="19" t="str">
        <f t="shared" si="2"/>
        <v/>
      </c>
      <c r="I36" s="20"/>
      <c r="J36" s="21"/>
      <c r="K36" s="22" t="str">
        <f t="shared" si="3"/>
        <v/>
      </c>
      <c r="L36" s="22" t="str">
        <f t="shared" si="4"/>
        <v/>
      </c>
      <c r="M36" s="17" t="str">
        <f t="shared" si="5"/>
        <v/>
      </c>
      <c r="N36" s="18" t="str">
        <f t="shared" si="6"/>
        <v/>
      </c>
      <c r="O36" s="23" t="str">
        <f t="shared" si="7"/>
        <v/>
      </c>
      <c r="P36" s="24" t="str">
        <f t="shared" si="8"/>
        <v/>
      </c>
      <c r="Q36" s="7"/>
    </row>
    <row r="37" spans="1:17" ht="16.05" customHeight="1" x14ac:dyDescent="0.45">
      <c r="A37" s="41"/>
      <c r="B37" s="14" t="e">
        <f t="shared" si="9"/>
        <v>#NUM!</v>
      </c>
      <c r="C37" s="15" t="e">
        <f t="shared" si="10"/>
        <v>#NUM!</v>
      </c>
      <c r="D37" s="16"/>
      <c r="E37" s="45"/>
      <c r="F37" s="17" t="str">
        <f t="shared" si="0"/>
        <v/>
      </c>
      <c r="G37" s="18" t="str">
        <f t="shared" si="1"/>
        <v/>
      </c>
      <c r="H37" s="19" t="str">
        <f t="shared" si="2"/>
        <v/>
      </c>
      <c r="I37" s="20"/>
      <c r="J37" s="21"/>
      <c r="K37" s="22" t="str">
        <f t="shared" si="3"/>
        <v/>
      </c>
      <c r="L37" s="22" t="str">
        <f t="shared" si="4"/>
        <v/>
      </c>
      <c r="M37" s="17" t="str">
        <f t="shared" si="5"/>
        <v/>
      </c>
      <c r="N37" s="18" t="str">
        <f t="shared" si="6"/>
        <v/>
      </c>
      <c r="O37" s="23" t="str">
        <f t="shared" si="7"/>
        <v/>
      </c>
      <c r="P37" s="24" t="str">
        <f t="shared" si="8"/>
        <v/>
      </c>
      <c r="Q37" s="7"/>
    </row>
    <row r="38" spans="1:17" ht="16.05" customHeight="1" x14ac:dyDescent="0.45">
      <c r="A38" s="41"/>
      <c r="B38" s="14" t="e">
        <f t="shared" si="9"/>
        <v>#NUM!</v>
      </c>
      <c r="C38" s="15" t="e">
        <f t="shared" si="10"/>
        <v>#NUM!</v>
      </c>
      <c r="D38" s="16"/>
      <c r="E38" s="45"/>
      <c r="F38" s="17" t="str">
        <f t="shared" si="0"/>
        <v/>
      </c>
      <c r="G38" s="18" t="str">
        <f t="shared" si="1"/>
        <v/>
      </c>
      <c r="H38" s="19" t="str">
        <f t="shared" si="2"/>
        <v/>
      </c>
      <c r="I38" s="20"/>
      <c r="J38" s="21"/>
      <c r="K38" s="22" t="str">
        <f t="shared" si="3"/>
        <v/>
      </c>
      <c r="L38" s="22" t="str">
        <f t="shared" si="4"/>
        <v/>
      </c>
      <c r="M38" s="17" t="str">
        <f t="shared" si="5"/>
        <v/>
      </c>
      <c r="N38" s="18" t="str">
        <f t="shared" si="6"/>
        <v/>
      </c>
      <c r="O38" s="23" t="str">
        <f t="shared" si="7"/>
        <v/>
      </c>
      <c r="P38" s="24" t="str">
        <f t="shared" si="8"/>
        <v/>
      </c>
      <c r="Q38" s="7"/>
    </row>
    <row r="39" spans="1:17" ht="16.05" customHeight="1" x14ac:dyDescent="0.45">
      <c r="A39" s="41"/>
      <c r="B39" s="30" t="e">
        <f>IF(DAY(DATE( $B$1, $E$1, ROW()-10))=ROW()-10, DATE( $B$1, $E$1, ROW()-10), "")</f>
        <v>#NUM!</v>
      </c>
      <c r="C39" s="31" t="e">
        <f t="shared" si="10"/>
        <v>#NUM!</v>
      </c>
      <c r="D39" s="32"/>
      <c r="E39" s="46"/>
      <c r="F39" s="33" t="str">
        <f t="shared" si="0"/>
        <v/>
      </c>
      <c r="G39" s="34" t="str">
        <f t="shared" si="1"/>
        <v/>
      </c>
      <c r="H39" s="35" t="str">
        <f t="shared" si="2"/>
        <v/>
      </c>
      <c r="I39" s="28"/>
      <c r="J39" s="29"/>
      <c r="K39" s="36" t="str">
        <f t="shared" si="3"/>
        <v/>
      </c>
      <c r="L39" s="36" t="str">
        <f t="shared" si="4"/>
        <v/>
      </c>
      <c r="M39" s="33" t="str">
        <f t="shared" si="5"/>
        <v/>
      </c>
      <c r="N39" s="34" t="str">
        <f t="shared" si="6"/>
        <v/>
      </c>
      <c r="O39" s="23" t="str">
        <f t="shared" si="7"/>
        <v/>
      </c>
      <c r="P39" s="24" t="str">
        <f t="shared" si="8"/>
        <v/>
      </c>
      <c r="Q39" s="7"/>
    </row>
    <row r="40" spans="1:17" ht="16.05" customHeight="1" x14ac:dyDescent="0.45">
      <c r="A40" s="41"/>
      <c r="B40" s="14" t="e">
        <f>IF(DAY(DATE( $B$1, $E$1, ROW()-10))=ROW()-10, DATE( $B$1, $E$1, ROW()-10), "")</f>
        <v>#NUM!</v>
      </c>
      <c r="C40" s="15" t="e">
        <f t="shared" si="10"/>
        <v>#NUM!</v>
      </c>
      <c r="D40" s="16"/>
      <c r="E40" s="45"/>
      <c r="F40" s="17" t="str">
        <f t="shared" si="0"/>
        <v/>
      </c>
      <c r="G40" s="18" t="str">
        <f t="shared" si="1"/>
        <v/>
      </c>
      <c r="H40" s="19" t="str">
        <f t="shared" si="2"/>
        <v/>
      </c>
      <c r="I40" s="20"/>
      <c r="J40" s="21"/>
      <c r="K40" s="22" t="str">
        <f t="shared" si="3"/>
        <v/>
      </c>
      <c r="L40" s="22" t="str">
        <f t="shared" si="4"/>
        <v/>
      </c>
      <c r="M40" s="17" t="str">
        <f t="shared" si="5"/>
        <v/>
      </c>
      <c r="N40" s="18" t="str">
        <f t="shared" si="6"/>
        <v/>
      </c>
      <c r="O40" s="23" t="str">
        <f t="shared" si="7"/>
        <v/>
      </c>
      <c r="P40" s="24" t="str">
        <f t="shared" si="8"/>
        <v/>
      </c>
      <c r="Q40" s="7"/>
    </row>
    <row r="41" spans="1:17" ht="16.05" customHeight="1" x14ac:dyDescent="0.45">
      <c r="A41" s="41"/>
      <c r="B41" s="14" t="e">
        <f>IF(DAY(DATE( $B$1, $E$1, ROW()-10))=ROW()-10, DATE( $B$1, $E$1, ROW()-10), "")</f>
        <v>#NUM!</v>
      </c>
      <c r="C41" s="37" t="e">
        <f t="shared" si="10"/>
        <v>#NUM!</v>
      </c>
      <c r="D41" s="16"/>
      <c r="E41" s="45"/>
      <c r="F41" s="17" t="str">
        <f t="shared" si="0"/>
        <v/>
      </c>
      <c r="G41" s="18" t="str">
        <f t="shared" si="1"/>
        <v/>
      </c>
      <c r="H41" s="19" t="str">
        <f t="shared" si="2"/>
        <v/>
      </c>
      <c r="I41" s="20"/>
      <c r="J41" s="21"/>
      <c r="K41" s="22" t="str">
        <f t="shared" si="3"/>
        <v/>
      </c>
      <c r="L41" s="22" t="str">
        <f t="shared" si="4"/>
        <v/>
      </c>
      <c r="M41" s="17" t="str">
        <f t="shared" si="5"/>
        <v/>
      </c>
      <c r="N41" s="18" t="str">
        <f t="shared" si="6"/>
        <v/>
      </c>
      <c r="O41" s="23" t="str">
        <f t="shared" si="7"/>
        <v/>
      </c>
      <c r="P41" s="24" t="str">
        <f t="shared" si="8"/>
        <v/>
      </c>
      <c r="Q41" s="7"/>
    </row>
    <row r="42" spans="1:17" x14ac:dyDescent="0.45">
      <c r="B42" s="38"/>
    </row>
  </sheetData>
  <sheetProtection algorithmName="SHA-512" hashValue="rmp85PeuMuQkOvJw3WkYFZHRHNS5RVMMD/iDIEuizhEP0IuzPaCOyCnC49G7m6ZvfeG30Pg8ltMARQOyoyjZ9Q==" saltValue="By+ps42g0HnQi3DF6Yr12A==" spinCount="100000" sheet="1" objects="1" scenarios="1" selectLockedCells="1"/>
  <mergeCells count="22">
    <mergeCell ref="B9:C9"/>
    <mergeCell ref="D9:H9"/>
    <mergeCell ref="I9:J9"/>
    <mergeCell ref="K9:P9"/>
    <mergeCell ref="J4:L4"/>
    <mergeCell ref="M4:O4"/>
    <mergeCell ref="B5:C5"/>
    <mergeCell ref="D5:F5"/>
    <mergeCell ref="H5:I5"/>
    <mergeCell ref="K5:L5"/>
    <mergeCell ref="N5:O5"/>
    <mergeCell ref="B6:C6"/>
    <mergeCell ref="D6:F6"/>
    <mergeCell ref="H6:I6"/>
    <mergeCell ref="K6:L6"/>
    <mergeCell ref="N6:O6"/>
    <mergeCell ref="B1:C2"/>
    <mergeCell ref="D1:D2"/>
    <mergeCell ref="E1:E2"/>
    <mergeCell ref="F1:G2"/>
    <mergeCell ref="B4:F4"/>
    <mergeCell ref="G4:I4"/>
  </mergeCells>
  <phoneticPr fontId="3"/>
  <dataValidations count="1">
    <dataValidation type="list" allowBlank="1" showInputMessage="1" showErrorMessage="1" sqref="Q11:Q41" xr:uid="{154C2C15-3DA4-4F06-9058-9F1B35A0CFEA}">
      <formula1>"有給,代休,振休,忌引き"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5B03E-B97F-461E-8D20-085C5518AB99}">
  <sheetPr codeName="Sheet3"/>
  <dimension ref="A1:B16"/>
  <sheetViews>
    <sheetView workbookViewId="0">
      <selection activeCell="F15" sqref="F15"/>
    </sheetView>
  </sheetViews>
  <sheetFormatPr defaultRowHeight="18" x14ac:dyDescent="0.45"/>
  <cols>
    <col min="1" max="1" width="14.09765625" style="41" customWidth="1"/>
    <col min="2" max="2" width="14" customWidth="1"/>
  </cols>
  <sheetData>
    <row r="1" spans="1:2" x14ac:dyDescent="0.45">
      <c r="A1" s="47" t="s">
        <v>49</v>
      </c>
      <c r="B1" s="48" t="s">
        <v>33</v>
      </c>
    </row>
    <row r="2" spans="1:2" x14ac:dyDescent="0.45">
      <c r="A2" s="41">
        <v>45658</v>
      </c>
      <c r="B2" t="s">
        <v>34</v>
      </c>
    </row>
    <row r="3" spans="1:2" x14ac:dyDescent="0.45">
      <c r="A3" s="41">
        <v>45699</v>
      </c>
      <c r="B3" t="s">
        <v>35</v>
      </c>
    </row>
    <row r="4" spans="1:2" x14ac:dyDescent="0.45">
      <c r="A4" s="41">
        <v>45737</v>
      </c>
      <c r="B4" t="s">
        <v>36</v>
      </c>
    </row>
    <row r="5" spans="1:2" x14ac:dyDescent="0.45">
      <c r="A5" s="41">
        <v>45776</v>
      </c>
      <c r="B5" t="s">
        <v>37</v>
      </c>
    </row>
    <row r="6" spans="1:2" x14ac:dyDescent="0.45">
      <c r="A6" s="41">
        <v>45780</v>
      </c>
      <c r="B6" t="s">
        <v>38</v>
      </c>
    </row>
    <row r="7" spans="1:2" x14ac:dyDescent="0.45">
      <c r="A7" s="41">
        <v>45781</v>
      </c>
      <c r="B7" t="s">
        <v>39</v>
      </c>
    </row>
    <row r="8" spans="1:2" x14ac:dyDescent="0.45">
      <c r="A8" s="41">
        <v>45782</v>
      </c>
      <c r="B8" t="s">
        <v>40</v>
      </c>
    </row>
    <row r="9" spans="1:2" x14ac:dyDescent="0.45">
      <c r="A9" s="41">
        <v>45859</v>
      </c>
      <c r="B9" t="s">
        <v>41</v>
      </c>
    </row>
    <row r="10" spans="1:2" x14ac:dyDescent="0.45">
      <c r="A10" s="41">
        <v>45880</v>
      </c>
      <c r="B10" t="s">
        <v>42</v>
      </c>
    </row>
    <row r="11" spans="1:2" x14ac:dyDescent="0.45">
      <c r="A11" s="41">
        <v>45915</v>
      </c>
      <c r="B11" t="s">
        <v>43</v>
      </c>
    </row>
    <row r="12" spans="1:2" x14ac:dyDescent="0.45">
      <c r="A12" s="41">
        <v>45923</v>
      </c>
      <c r="B12" t="s">
        <v>44</v>
      </c>
    </row>
    <row r="13" spans="1:2" x14ac:dyDescent="0.45">
      <c r="A13" s="41">
        <v>45943</v>
      </c>
      <c r="B13" t="s">
        <v>45</v>
      </c>
    </row>
    <row r="14" spans="1:2" x14ac:dyDescent="0.45">
      <c r="A14" s="41">
        <v>45964</v>
      </c>
      <c r="B14" t="s">
        <v>46</v>
      </c>
    </row>
    <row r="15" spans="1:2" x14ac:dyDescent="0.45">
      <c r="A15" s="41">
        <v>45984</v>
      </c>
      <c r="B15" t="s">
        <v>47</v>
      </c>
    </row>
    <row r="16" spans="1:2" x14ac:dyDescent="0.45">
      <c r="A16" s="41">
        <v>46014</v>
      </c>
      <c r="B16" t="s">
        <v>48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残業反映表</vt:lpstr>
      <vt:lpstr>勤務管理表</vt:lpstr>
      <vt:lpstr>祝日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大樹 飯棲</dc:creator>
  <cp:lastModifiedBy>大空 宮脇</cp:lastModifiedBy>
  <dcterms:created xsi:type="dcterms:W3CDTF">2025-06-22T23:50:50Z</dcterms:created>
  <dcterms:modified xsi:type="dcterms:W3CDTF">2025-06-27T03:29:20Z</dcterms:modified>
</cp:coreProperties>
</file>